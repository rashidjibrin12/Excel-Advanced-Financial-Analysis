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2" windowHeight="7492"/>
  </bookViews>
  <sheets>
    <sheet name="Operations-Data" sheetId="1" r:id="rId1"/>
    <sheet name="Task Status Summary" sheetId="2" r:id="rId2"/>
    <sheet name="Hours by Dept" sheetId="3" r:id="rId3"/>
    <sheet name="Budget and Hours" sheetId="4" r:id="rId4"/>
    <sheet name="Dashboard" sheetId="5" r:id="rId5"/>
  </sheets>
  <definedNames>
    <definedName name="Slicer_Department">#N/A</definedName>
    <definedName name="Slicer_Assigned_To">#N/A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9"/>
        <x14:slicerCache r:id="rId8"/>
        <x14:slicerCache r:id="rId7"/>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<sst xmlns="http://schemas.openxmlformats.org/spreadsheetml/2006/main" count="102" uniqueCount="60">
  <si>
    <t>SUMMARY</t>
  </si>
  <si>
    <t>Completed Tasks Count</t>
  </si>
  <si>
    <t>Average Completion</t>
  </si>
  <si>
    <t>Department</t>
  </si>
  <si>
    <t>Task</t>
  </si>
  <si>
    <t>Assigned To</t>
  </si>
  <si>
    <t>Year</t>
  </si>
  <si>
    <t>Start Date</t>
  </si>
  <si>
    <t>Year Due</t>
  </si>
  <si>
    <t>Due Date</t>
  </si>
  <si>
    <t>Status</t>
  </si>
  <si>
    <t>Priority</t>
  </si>
  <si>
    <t>Hours Spent</t>
  </si>
  <si>
    <t>Budget ($)</t>
  </si>
  <si>
    <t>Completion %</t>
  </si>
  <si>
    <t>Days Remaining</t>
  </si>
  <si>
    <t>Over-Budget Flag</t>
  </si>
  <si>
    <t>Task Duration</t>
  </si>
  <si>
    <t>Finance</t>
  </si>
  <si>
    <t>Prepare Q2 Report</t>
  </si>
  <si>
    <t>Ahmed</t>
  </si>
  <si>
    <t>2026‑06‑01</t>
  </si>
  <si>
    <t>2026‑06‑14</t>
  </si>
  <si>
    <t>In Progress</t>
  </si>
  <si>
    <t>High</t>
  </si>
  <si>
    <t>HR</t>
  </si>
  <si>
    <t>Update Employee Records</t>
  </si>
  <si>
    <t>Sarah</t>
  </si>
  <si>
    <t>2026‑06‑03</t>
  </si>
  <si>
    <t>2026‑06‑10</t>
  </si>
  <si>
    <t>Completed</t>
  </si>
  <si>
    <t>Medium</t>
  </si>
  <si>
    <t>IT</t>
  </si>
  <si>
    <t>System Maintenance</t>
  </si>
  <si>
    <t>John</t>
  </si>
  <si>
    <t>2026‑06‑05</t>
  </si>
  <si>
    <t>2026‑06‑20</t>
  </si>
  <si>
    <t>Delayed</t>
  </si>
  <si>
    <t>Admin</t>
  </si>
  <si>
    <t>Office Supply Audit</t>
  </si>
  <si>
    <t>Fatima</t>
  </si>
  <si>
    <t>2026‑06‑02</t>
  </si>
  <si>
    <t>2026‑06‑07</t>
  </si>
  <si>
    <t>Low</t>
  </si>
  <si>
    <t>Budget Forecasting</t>
  </si>
  <si>
    <t>2026‑06‑25</t>
  </si>
  <si>
    <t>Training Session Prep</t>
  </si>
  <si>
    <t>2026‑06‑12</t>
  </si>
  <si>
    <t>2026‑06‑18</t>
  </si>
  <si>
    <t>Not Started</t>
  </si>
  <si>
    <t>Software Updates</t>
  </si>
  <si>
    <t>2026‑06‑15</t>
  </si>
  <si>
    <t>2026‑06‑30</t>
  </si>
  <si>
    <t>Meeting Coordination</t>
  </si>
  <si>
    <t>Across the Finance, HR, IT, and Administrative departments, a total of eight operational tasks were monitored to assess progress, workload distribution, and overall performance. The data shows a balanced mix of completed work, ongoing initiatives, and areas requiring attention. Four tasks were fully completed, demonstrating strong execution within the HR and Administrative units. These completed tasks include employee record updates, office supply auditing, and meeting coordination, all of which reached 100% completion with efficient use of time and budget.
Three tasks are currently in progress, primarily within the Finance and IT departments. These include the preparation of the Q2 financial report, budget forecasting, and software updates. Progress levels range from 20% to 65%, indicating steady advancement but also highlighting the need for continued focus to meet upcoming deadlines. One task: system maintenance within IT, is marked as delayed, with only 40% completion. This delay suggests potential resource constraints or technical challenges that may require managerial intervention.
The HR department has one task that has not yet started: preparation for an upcoming training session. This item represents an opportunity for early action to avoid future bottlenecks. In total, 51 hours of work have been logged across all departments, with a combined budget allocation of $23,700. The overall completion rate across all tasks stands at approximately 59%, reflecting moderate progress toward departmental goals.
Finance remains heavily engaged with two major ongoing tasks, while HR shows mixed progress with one completed and one pending. IT displays the most variability, with one delayed task and one in progress. The Administrative department demonstrates strong performance, having completed all assigned tasks. Overall, the dataset reflects a productive workflow with clear indicators of where attention and resources should be directed next.</t>
  </si>
  <si>
    <t>Count of Status</t>
  </si>
  <si>
    <t>Grand Total</t>
  </si>
  <si>
    <t>Sum of Hours Spent</t>
  </si>
  <si>
    <t>Sum of Budget ($)</t>
  </si>
  <si>
    <t>Monthly Operations Dashboard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</si>
</sst>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quot;* #,##0.00_-;\-&quot;$&quot;* #,##0.00_-;_-&quot;$&quot;* \-??_-;_-@_-"/>
    <numFmt numFmtId="177" formatCode="_-&quot;$&quot;* #,##0_-;\-&quot;$&quot;* #,##0_-;_-&quot;$&quot;* &quot;-&quot;_-;_-@_-"/>
    <numFmt numFmtId="178" formatCode="yyyy/mm/dd;@"/>
  </numFmts>
  <fonts count="29">
    <font>
      <sz val="11"/>
      <color theme="1"/>
      <name val="Calibri"/>
      <charset val="134"/>
      <scheme val="minor"/>
    </font>
    <font>
      <b/>
      <sz val="24"/>
      <color theme="4" tint="-0.25"/>
      <name val="Arial Unicode MS"/>
      <charset val="134"/>
    </font>
    <font>
      <b/>
      <u/>
      <sz val="18"/>
      <color theme="1"/>
      <name val="Calibri"/>
      <charset val="134"/>
      <scheme val="minor"/>
    </font>
    <font>
      <b/>
      <sz val="16"/>
      <color theme="1"/>
      <name val="Calibri"/>
      <charset val="134"/>
      <scheme val="minor"/>
    </font>
    <font>
      <b/>
      <sz val="16"/>
      <color theme="1"/>
      <name val="Arial Unicode MS"/>
      <charset val="134"/>
    </font>
    <font>
      <b/>
      <sz val="16"/>
      <color theme="1"/>
      <name val="Calibri"/>
      <charset val="134"/>
    </font>
    <font>
      <b/>
      <sz val="11"/>
      <color theme="1"/>
      <name val="Calibri"/>
      <charset val="134"/>
      <scheme val="minor"/>
    </font>
    <font>
      <sz val="10"/>
      <color theme="1"/>
      <name val="Arial Unicode MS"/>
      <charset val="134"/>
    </font>
    <font>
      <b/>
      <sz val="10"/>
      <color theme="1"/>
      <name val="Arial Unicode MS"/>
      <charset val="134"/>
    </font>
    <font>
      <sz val="16"/>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2" tint="-0.1"/>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9"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0" applyNumberFormat="0" applyFill="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7" fillId="0" borderId="0" applyNumberFormat="0" applyFill="0" applyBorder="0" applyAlignment="0" applyProtection="0">
      <alignment vertical="center"/>
    </xf>
    <xf numFmtId="0" fontId="18" fillId="5" borderId="12" applyNumberFormat="0" applyAlignment="0" applyProtection="0">
      <alignment vertical="center"/>
    </xf>
    <xf numFmtId="0" fontId="19" fillId="6" borderId="13" applyNumberFormat="0" applyAlignment="0" applyProtection="0">
      <alignment vertical="center"/>
    </xf>
    <xf numFmtId="0" fontId="20" fillId="6" borderId="12" applyNumberFormat="0" applyAlignment="0" applyProtection="0">
      <alignment vertical="center"/>
    </xf>
    <xf numFmtId="0" fontId="21" fillId="7" borderId="14" applyNumberFormat="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34">
    <xf numFmtId="0" fontId="0" fillId="0" borderId="0" xfId="0">
      <alignment vertical="center"/>
    </xf>
    <xf numFmtId="0" fontId="1" fillId="0" borderId="0" xfId="0" applyFont="1">
      <alignment vertical="center"/>
    </xf>
    <xf numFmtId="0" fontId="2" fillId="2" borderId="1" xfId="0" applyFont="1" applyFill="1" applyBorder="1">
      <alignment vertical="center"/>
    </xf>
    <xf numFmtId="0" fontId="0" fillId="2" borderId="2" xfId="0" applyFill="1" applyBorder="1">
      <alignment vertical="center"/>
    </xf>
    <xf numFmtId="178" fontId="0" fillId="3" borderId="0" xfId="0" applyNumberFormat="1" applyFill="1" applyBorder="1">
      <alignment vertical="center"/>
    </xf>
    <xf numFmtId="0" fontId="3" fillId="2" borderId="3" xfId="0" applyFont="1" applyFill="1" applyBorder="1">
      <alignment vertical="center"/>
    </xf>
    <xf numFmtId="0" fontId="3" fillId="2" borderId="0" xfId="0" applyFont="1" applyFill="1">
      <alignment vertical="center"/>
    </xf>
    <xf numFmtId="0" fontId="4" fillId="2" borderId="0" xfId="0" applyFont="1" applyFill="1">
      <alignment vertical="center"/>
    </xf>
    <xf numFmtId="0" fontId="4" fillId="3" borderId="0" xfId="0" applyFont="1" applyFill="1" applyBorder="1">
      <alignment vertical="center"/>
    </xf>
    <xf numFmtId="0" fontId="3" fillId="2" borderId="4" xfId="0" applyFont="1" applyFill="1" applyBorder="1">
      <alignment vertical="center"/>
    </xf>
    <xf numFmtId="0" fontId="3" fillId="2" borderId="5" xfId="0" applyFont="1" applyFill="1" applyBorder="1">
      <alignment vertical="center"/>
    </xf>
    <xf numFmtId="10" fontId="4" fillId="2" borderId="5" xfId="3" applyNumberFormat="1" applyFont="1" applyFill="1" applyBorder="1">
      <alignment vertical="center"/>
    </xf>
    <xf numFmtId="10" fontId="4" fillId="3" borderId="0" xfId="3" applyNumberFormat="1" applyFont="1" applyFill="1" applyBorder="1">
      <alignment vertical="center"/>
    </xf>
    <xf numFmtId="178" fontId="0" fillId="0" borderId="0" xfId="0" applyNumberFormat="1">
      <alignment vertical="center"/>
    </xf>
    <xf numFmtId="0" fontId="0" fillId="0" borderId="0" xfId="0" applyAlignment="1">
      <alignment horizontal="center" vertical="center"/>
    </xf>
    <xf numFmtId="178" fontId="0" fillId="2" borderId="6" xfId="0" applyNumberFormat="1" applyFill="1" applyBorder="1">
      <alignment vertical="center"/>
    </xf>
    <xf numFmtId="0" fontId="5" fillId="2" borderId="7" xfId="0" applyFont="1" applyFill="1" applyBorder="1" applyAlignment="1">
      <alignment horizontal="center" vertical="center"/>
    </xf>
    <xf numFmtId="58" fontId="0" fillId="0" borderId="0" xfId="0" applyNumberFormat="1" applyAlignment="1">
      <alignment horizontal="center" vertical="center" wrapText="1"/>
    </xf>
    <xf numFmtId="10" fontId="3" fillId="2" borderId="8" xfId="3" applyNumberFormat="1" applyFont="1" applyFill="1" applyBorder="1" applyAlignment="1">
      <alignment horizontal="center" vertical="center"/>
    </xf>
    <xf numFmtId="0" fontId="6" fillId="0" borderId="0" xfId="0" applyFont="1" applyAlignment="1">
      <alignment horizontal="center" vertical="center" wrapText="1"/>
    </xf>
    <xf numFmtId="178" fontId="6" fillId="0" borderId="0" xfId="0" applyNumberFormat="1"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78" fontId="0" fillId="0" borderId="0" xfId="0" applyNumberFormat="1" applyAlignment="1">
      <alignment vertical="center" wrapText="1"/>
    </xf>
    <xf numFmtId="3" fontId="0" fillId="0" borderId="0" xfId="0" applyNumberFormat="1" applyAlignment="1">
      <alignment horizontal="center" vertical="center" wrapText="1"/>
    </xf>
    <xf numFmtId="9" fontId="0" fillId="0" borderId="0" xfId="0" applyNumberFormat="1" applyAlignment="1">
      <alignment horizontal="center" vertical="center" wrapText="1"/>
    </xf>
    <xf numFmtId="0" fontId="7" fillId="0" borderId="0" xfId="0" applyNumberFormat="1" applyFont="1" applyAlignment="1">
      <alignment horizontal="center" vertical="center"/>
    </xf>
    <xf numFmtId="0" fontId="7" fillId="0" borderId="0" xfId="0" applyNumberFormat="1" applyFont="1" applyAlignment="1">
      <alignment horizontal="center" vertical="center" wrapText="1"/>
    </xf>
    <xf numFmtId="0" fontId="8" fillId="0" borderId="0" xfId="0" applyNumberFormat="1" applyFont="1" applyAlignment="1">
      <alignment horizontal="center" vertical="center"/>
    </xf>
    <xf numFmtId="0" fontId="7" fillId="0" borderId="0" xfId="0" applyFont="1">
      <alignment vertical="center"/>
    </xf>
    <xf numFmtId="0" fontId="0" fillId="0" borderId="0" xfId="0" applyNumberFormat="1" applyAlignment="1">
      <alignment horizontal="center" vertical="center"/>
    </xf>
    <xf numFmtId="0" fontId="2"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8">
    <dxf>
      <font>
        <b val="1"/>
      </font>
      <alignment horizontal="center" wrapText="1"/>
    </dxf>
    <dxf>
      <alignment wrapText="1"/>
    </dxf>
    <dxf>
      <alignment wrapText="1"/>
    </dxf>
    <dxf>
      <alignment wrapText="1"/>
    </dxf>
    <dxf>
      <numFmt numFmtId="58" formatCode="dd/mm/yyyy"/>
    </dxf>
    <dxf>
      <alignment wrapText="1"/>
    </dxf>
    <dxf>
      <numFmt numFmtId="178" formatCode="yyyy/mm/dd;@"/>
    </dxf>
    <dxf>
      <alignment wrapText="1"/>
    </dxf>
    <dxf>
      <alignment wrapText="1"/>
    </dxf>
    <dxf>
      <alignment wrapText="1"/>
    </dxf>
    <dxf>
      <numFmt numFmtId="9" formatCode="0%"/>
      <alignment wrapText="1"/>
    </dxf>
    <dxf>
      <numFmt numFmtId="0" formatCode="General"/>
    </dxf>
    <dxf>
      <numFmt numFmtId="0" formatCode="General"/>
    </dxf>
    <dxf>
      <numFmt numFmtId="0" formatCode="General"/>
    </dxf>
    <dxf>
      <fill>
        <patternFill patternType="solid">
          <bgColor theme="0" tint="-0.5"/>
        </patternFill>
      </fill>
    </dxf>
    <dxf>
      <fill>
        <patternFill patternType="solid">
          <bgColor rgb="FFFFFF00"/>
        </patternFill>
      </fill>
    </dxf>
    <dxf>
      <fill>
        <patternFill patternType="solid">
          <bgColor theme="9"/>
        </patternFill>
      </fill>
    </dxf>
    <dxf>
      <fill>
        <patternFill patternType="solid">
          <bgColor theme="7"/>
        </patternFill>
      </fill>
    </dxf>
    <dxf>
      <font>
        <color rgb="FF00B0F0"/>
      </font>
    </dxf>
    <dxf>
      <font>
        <color theme="5"/>
      </font>
    </dxf>
    <dxf>
      <font>
        <color rgb="FFFF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PivotStylePreset2_Accent1" table="0" count="10" xr9:uid="{267968C8-6FFD-4C36-ACC1-9EA1FD1885CA}">
      <tableStyleElement type="headerRow" dxfId="37"/>
      <tableStyleElement type="totalRow" dxfId="36"/>
      <tableStyleElement type="firstRowStripe" dxfId="35"/>
      <tableStyleElement type="firstColumnStripe" dxfId="34"/>
      <tableStyleElement type="firstSubtotalRow" dxfId="33"/>
      <tableStyleElement type="secondSubtotalRow" dxfId="32"/>
      <tableStyleElement type="firstRowSubheading" dxfId="31"/>
      <tableStyleElement type="secondRowSubheading" dxfId="30"/>
      <tableStyleElement type="pageFieldLabels" dxfId="29"/>
      <tableStyleElement type="pageFieldValues" dxfId="2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3.xml"/><Relationship Id="rId8" Type="http://schemas.microsoft.com/office/2007/relationships/slicerCache" Target="slicerCaches/slicerCache2.xml"/><Relationship Id="rId7" Type="http://schemas.microsoft.com/office/2007/relationships/slicerCache" Target="slicerCaches/slicerCach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themeOverride" Target="../theme/themeOverride3.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2.xlsx]Task Status Summary!PivotTable1</c:name>
    <c:fmtId val="0"/>
  </c:pivotSource>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Total</a:t>
            </a:r>
          </a:p>
        </c:rich>
      </c:tx>
      <c:layout/>
      <c:overlay val="0"/>
      <c:spPr>
        <a:noFill/>
        <a:ln>
          <a:noFill/>
        </a:ln>
        <a:effectLst/>
      </c:spPr>
    </c:title>
    <c:autoTitleDeleted val="0"/>
    <c:plotArea>
      <c:layout/>
      <c:pieChart>
        <c:varyColors val="1"/>
        <c:ser>
          <c:idx val="0"/>
          <c:order val="0"/>
          <c:tx>
            <c:strRef>
              <c:f>'Task Status Summary'!$B$3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dLbl>
              <c:idx val="0"/>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rPr b="1"/>
                      <a:t>Completed</a:t>
                    </a:r>
                    <a:r>
                      <a:t>338%</a:t>
                    </a:r>
                  </a:p>
                </c:rich>
              </c:tx>
              <c:dLblPos val="inEnd"/>
              <c:showLegendKey val="0"/>
              <c:showVal val="1"/>
              <c:showCatName val="1"/>
              <c:showSerName val="0"/>
              <c:showPercent val="1"/>
              <c:showBubbleSize val="0"/>
              <c:separator>
</c:separator>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rPr b="1"/>
                      <a:t>Delayed</a:t>
                    </a:r>
                    <a:r>
                      <a:t>112%</a:t>
                    </a:r>
                  </a:p>
                </c:rich>
              </c:tx>
              <c:dLblPos val="inEnd"/>
              <c:showLegendKey val="0"/>
              <c:showVal val="1"/>
              <c:showCatName val="1"/>
              <c:showSerName val="0"/>
              <c:showPercent val="1"/>
              <c:showBubbleSize val="0"/>
              <c:separator>
</c:separator>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rPr b="1"/>
                      <a:t>In Progress</a:t>
                    </a:r>
                    <a:r>
                      <a:t>338%</a:t>
                    </a:r>
                  </a:p>
                </c:rich>
              </c:tx>
              <c:dLblPos val="inEnd"/>
              <c:showLegendKey val="0"/>
              <c:showVal val="1"/>
              <c:showCatName val="1"/>
              <c:showSerName val="0"/>
              <c:showPercent val="1"/>
              <c:showBubbleSize val="0"/>
              <c:separator>
</c:separator>
              <c:extLst>
                <c:ext xmlns:c15="http://schemas.microsoft.com/office/drawing/2012/chart" uri="{CE6537A1-D6FC-4f65-9D91-7224C49458BB}"/>
              </c:extLst>
            </c:dLbl>
            <c:dLbl>
              <c:idx val="3"/>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rPr b="1"/>
                      <a:t>Not Started</a:t>
                    </a:r>
                    <a:r>
                      <a:t>112%</a:t>
                    </a:r>
                  </a:p>
                </c:rich>
              </c:tx>
              <c:dLblPos val="inEnd"/>
              <c:showLegendKey val="0"/>
              <c:showVal val="1"/>
              <c:showCatName val="1"/>
              <c:showSerName val="0"/>
              <c:showPercent val="1"/>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inEnd"/>
            <c:showLegendKey val="0"/>
            <c:showVal val="1"/>
            <c:showCatName val="1"/>
            <c:showSerName val="0"/>
            <c:showPercent val="1"/>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'Task Status Summary'!$A$4:$A$8</c:f>
              <c:strCache>
                <c:ptCount val="4"/>
                <c:pt idx="0">
                  <c:v>Completed</c:v>
                </c:pt>
                <c:pt idx="1">
                  <c:v>Delayed</c:v>
                </c:pt>
                <c:pt idx="2">
                  <c:v>In Progress</c:v>
                </c:pt>
                <c:pt idx="3">
                  <c:v>Not Started</c:v>
                </c:pt>
              </c:strCache>
            </c:strRef>
          </c:cat>
          <c:val>
            <c:numRef>
              <c:f>'Task Status Summary'!$B$4:$B$8</c:f>
              <c:numCache>
                <c:formatCode>General</c:formatCode>
                <c:ptCount val="4"/>
                <c:pt idx="0">
                  <c:v>3</c:v>
                </c:pt>
                <c:pt idx="1">
                  <c:v>1</c:v>
                </c:pt>
                <c:pt idx="2">
                  <c:v>3</c:v>
                </c:pt>
                <c:pt idx="3">
                  <c:v>1</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578404b-ee17-435a-8180-38ab43963a4c}"/>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Analysis 2.xlsx]Hours by Dept!PivotTable2</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Total</a:t>
            </a:r>
          </a:p>
        </c:rich>
      </c:tx>
      <c:layout/>
      <c:overlay val="0"/>
      <c:spPr>
        <a:noFill/>
        <a:ln>
          <a:noFill/>
        </a:ln>
        <a:effectLst/>
      </c:spPr>
    </c:title>
    <c:autoTitleDeleted val="0"/>
    <c:plotArea>
      <c:layout/>
      <c:barChart>
        <c:barDir val="col"/>
        <c:grouping val="clustered"/>
        <c:varyColors val="0"/>
        <c:ser>
          <c:idx val="0"/>
          <c:order val="0"/>
          <c:tx>
            <c:strRef>
              <c:f>'Hours by Dept'!$B$3</c:f>
              <c:strCache>
                <c:ptCount val="1"/>
                <c:pt idx="0">
                  <c:v>Total</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'Hours by Dept'!$A$4:$A$8</c:f>
              <c:strCache>
                <c:ptCount val="4"/>
                <c:pt idx="0">
                  <c:v>Admin</c:v>
                </c:pt>
                <c:pt idx="1">
                  <c:v>Finance</c:v>
                </c:pt>
                <c:pt idx="2">
                  <c:v>HR</c:v>
                </c:pt>
                <c:pt idx="3">
                  <c:v>IT</c:v>
                </c:pt>
              </c:strCache>
            </c:strRef>
          </c:cat>
          <c:val>
            <c:numRef>
              <c:f>'Hours by Dept'!$B$4:$B$8</c:f>
              <c:numCache>
                <c:formatCode>General</c:formatCode>
                <c:ptCount val="4"/>
                <c:pt idx="0">
                  <c:v>5</c:v>
                </c:pt>
                <c:pt idx="1">
                  <c:v>20</c:v>
                </c:pt>
                <c:pt idx="2">
                  <c:v>6</c:v>
                </c:pt>
                <c:pt idx="3">
                  <c:v>20</c:v>
                </c:pt>
              </c:numCache>
            </c:numRef>
          </c:val>
        </c:ser>
        <c:dLbls>
          <c:showLegendKey val="0"/>
          <c:showVal val="1"/>
          <c:showCatName val="0"/>
          <c:showSerName val="0"/>
          <c:showPercent val="0"/>
          <c:showBubbleSize val="0"/>
        </c:dLbls>
        <c:gapWidth val="260"/>
        <c:overlap val="-32"/>
        <c:axId val="832416982"/>
        <c:axId val="167563940"/>
      </c:barChart>
      <c:catAx>
        <c:axId val="832416982"/>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167563940"/>
        <c:crosses val="autoZero"/>
        <c:auto val="1"/>
        <c:lblAlgn val="ctr"/>
        <c:lblOffset val="100"/>
        <c:noMultiLvlLbl val="0"/>
      </c:catAx>
      <c:valAx>
        <c:axId val="167563940"/>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832416982"/>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8040a107-624a-467d-b0f3-de8cc81647a6}"/>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Analysis 2.xlsx]Budget and Hours!PivotTable3</c:name>
    <c:fmtId val="0"/>
  </c:pivotSource>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zh-CN" altLang="en-US"/>
              <a:t>标题</a:t>
            </a:r>
            <a:endParaRPr lang="zh-CN" altLang="en-US"/>
          </a:p>
        </c:rich>
      </c:tx>
      <c:layout/>
      <c:overlay val="0"/>
      <c:spPr>
        <a:noFill/>
        <a:ln>
          <a:noFill/>
        </a:ln>
        <a:effectLst/>
      </c:spPr>
    </c:title>
    <c:autoTitleDeleted val="0"/>
    <c:plotArea>
      <c:layout/>
      <c:barChart>
        <c:barDir val="col"/>
        <c:grouping val="clustered"/>
        <c:varyColors val="0"/>
        <c:ser>
          <c:idx val="0"/>
          <c:order val="0"/>
          <c:tx>
            <c:strRef>
              <c:f>'Budget and Hours'!$B$3</c:f>
              <c:strCache>
                <c:ptCount val="1"/>
                <c:pt idx="0">
                  <c:v>Sum of Budget ($)</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'Budget and Hours'!$A$4:$A$8</c:f>
              <c:strCache>
                <c:ptCount val="4"/>
                <c:pt idx="0">
                  <c:v>Ahmed</c:v>
                </c:pt>
                <c:pt idx="1">
                  <c:v>Fatima</c:v>
                </c:pt>
                <c:pt idx="2">
                  <c:v>John</c:v>
                </c:pt>
                <c:pt idx="3">
                  <c:v>Sarah</c:v>
                </c:pt>
              </c:strCache>
            </c:strRef>
          </c:cat>
          <c:val>
            <c:numRef>
              <c:f>'Budget and Hours'!$B$4:$B$8</c:f>
              <c:numCache>
                <c:formatCode>General</c:formatCode>
                <c:ptCount val="4"/>
                <c:pt idx="0">
                  <c:v>9700</c:v>
                </c:pt>
                <c:pt idx="1">
                  <c:v>500</c:v>
                </c:pt>
                <c:pt idx="2">
                  <c:v>11400</c:v>
                </c:pt>
                <c:pt idx="3">
                  <c:v>2100</c:v>
                </c:pt>
              </c:numCache>
            </c:numRef>
          </c:val>
        </c:ser>
        <c:ser>
          <c:idx val="1"/>
          <c:order val="1"/>
          <c:tx>
            <c:strRef>
              <c:f>'Budget and Hours'!$C$3</c:f>
              <c:strCache>
                <c:ptCount val="1"/>
                <c:pt idx="0">
                  <c:v>Sum of Hours Spent</c:v>
                </c:pt>
              </c:strCache>
            </c:strRef>
          </c:tx>
          <c:spPr>
            <a:solidFill>
              <a:schemeClr val="accent2"/>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'Budget and Hours'!$A$4:$A$8</c:f>
              <c:strCache>
                <c:ptCount val="4"/>
                <c:pt idx="0">
                  <c:v>Ahmed</c:v>
                </c:pt>
                <c:pt idx="1">
                  <c:v>Fatima</c:v>
                </c:pt>
                <c:pt idx="2">
                  <c:v>John</c:v>
                </c:pt>
                <c:pt idx="3">
                  <c:v>Sarah</c:v>
                </c:pt>
              </c:strCache>
            </c:strRef>
          </c:cat>
          <c:val>
            <c:numRef>
              <c:f>'Budget and Hours'!$C$4:$C$8</c:f>
              <c:numCache>
                <c:formatCode>General</c:formatCode>
                <c:ptCount val="4"/>
                <c:pt idx="0">
                  <c:v>20</c:v>
                </c:pt>
                <c:pt idx="1">
                  <c:v>5</c:v>
                </c:pt>
                <c:pt idx="2">
                  <c:v>20</c:v>
                </c:pt>
                <c:pt idx="3">
                  <c:v>6</c:v>
                </c:pt>
              </c:numCache>
            </c:numRef>
          </c:val>
        </c:ser>
        <c:dLbls>
          <c:showLegendKey val="0"/>
          <c:showVal val="1"/>
          <c:showCatName val="0"/>
          <c:showSerName val="0"/>
          <c:showPercent val="0"/>
          <c:showBubbleSize val="0"/>
        </c:dLbls>
        <c:gapWidth val="260"/>
        <c:overlap val="-32"/>
        <c:axId val="744857527"/>
        <c:axId val="317634966"/>
      </c:barChart>
      <c:catAx>
        <c:axId val="744857527"/>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17634966"/>
        <c:crosses val="autoZero"/>
        <c:auto val="1"/>
        <c:lblAlgn val="ctr"/>
        <c:lblOffset val="100"/>
        <c:noMultiLvlLbl val="0"/>
      </c:catAx>
      <c:valAx>
        <c:axId val="317634966"/>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744857527"/>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15921891-c21a-4b4c-a423-a5062c9173e4}"/>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2.xlsx]Budget and Hours!PivotTable3</c:name>
    <c:fmtId val="2"/>
  </c:pivotSource>
  <c:chart>
    <c:title>
      <c:tx>
        <c:rich>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r>
              <a:rPr lang="en-CA" altLang="zh-CN"/>
              <a:t>Budget Vs Hours Spent</a:t>
            </a:r>
            <a:endParaRPr lang="en-CA" altLang="zh-CN"/>
          </a:p>
        </c:rich>
      </c:tx>
      <c:layout/>
      <c:overlay val="0"/>
      <c:spPr>
        <a:noFill/>
        <a:ln>
          <a:noFill/>
        </a:ln>
        <a:effectLst/>
      </c:spPr>
    </c:title>
    <c:autoTitleDeleted val="0"/>
    <c:plotArea>
      <c:layout/>
      <c:barChart>
        <c:barDir val="col"/>
        <c:grouping val="clustered"/>
        <c:varyColors val="0"/>
        <c:ser>
          <c:idx val="0"/>
          <c:order val="0"/>
          <c:tx>
            <c:strRef>
              <c:f>'Budget and Hours'!$B$3</c:f>
              <c:strCache>
                <c:ptCount val="1"/>
                <c:pt idx="0">
                  <c:v>Sum of Budget ($)</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'Budget and Hours'!$A$4:$A$8</c:f>
              <c:strCache>
                <c:ptCount val="4"/>
                <c:pt idx="0">
                  <c:v>Ahmed</c:v>
                </c:pt>
                <c:pt idx="1">
                  <c:v>Fatima</c:v>
                </c:pt>
                <c:pt idx="2">
                  <c:v>John</c:v>
                </c:pt>
                <c:pt idx="3">
                  <c:v>Sarah</c:v>
                </c:pt>
              </c:strCache>
            </c:strRef>
          </c:cat>
          <c:val>
            <c:numRef>
              <c:f>'Budget and Hours'!$B$4:$B$8</c:f>
              <c:numCache>
                <c:formatCode>General</c:formatCode>
                <c:ptCount val="4"/>
                <c:pt idx="0">
                  <c:v>9700</c:v>
                </c:pt>
                <c:pt idx="1">
                  <c:v>500</c:v>
                </c:pt>
                <c:pt idx="2">
                  <c:v>11400</c:v>
                </c:pt>
                <c:pt idx="3">
                  <c:v>2100</c:v>
                </c:pt>
              </c:numCache>
            </c:numRef>
          </c:val>
        </c:ser>
        <c:ser>
          <c:idx val="1"/>
          <c:order val="1"/>
          <c:tx>
            <c:strRef>
              <c:f>'Budget and Hours'!$C$3</c:f>
              <c:strCache>
                <c:ptCount val="1"/>
                <c:pt idx="0">
                  <c:v>Sum of Hours Spent</c:v>
                </c:pt>
              </c:strCache>
            </c:strRef>
          </c:tx>
          <c:spPr>
            <a:solidFill>
              <a:schemeClr val="accent2"/>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'Budget and Hours'!$A$4:$A$8</c:f>
              <c:strCache>
                <c:ptCount val="4"/>
                <c:pt idx="0">
                  <c:v>Ahmed</c:v>
                </c:pt>
                <c:pt idx="1">
                  <c:v>Fatima</c:v>
                </c:pt>
                <c:pt idx="2">
                  <c:v>John</c:v>
                </c:pt>
                <c:pt idx="3">
                  <c:v>Sarah</c:v>
                </c:pt>
              </c:strCache>
            </c:strRef>
          </c:cat>
          <c:val>
            <c:numRef>
              <c:f>'Budget and Hours'!$C$4:$C$8</c:f>
              <c:numCache>
                <c:formatCode>General</c:formatCode>
                <c:ptCount val="4"/>
                <c:pt idx="0">
                  <c:v>20</c:v>
                </c:pt>
                <c:pt idx="1">
                  <c:v>5</c:v>
                </c:pt>
                <c:pt idx="2">
                  <c:v>20</c:v>
                </c:pt>
                <c:pt idx="3">
                  <c:v>6</c:v>
                </c:pt>
              </c:numCache>
            </c:numRef>
          </c:val>
        </c:ser>
        <c:dLbls>
          <c:showLegendKey val="0"/>
          <c:showVal val="1"/>
          <c:showCatName val="0"/>
          <c:showSerName val="0"/>
          <c:showPercent val="0"/>
          <c:showBubbleSize val="0"/>
        </c:dLbls>
        <c:gapWidth val="246"/>
        <c:overlap val="-28"/>
        <c:axId val="295117911"/>
        <c:axId val="537225442"/>
      </c:barChart>
      <c:catAx>
        <c:axId val="295117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37225442"/>
        <c:crosses val="autoZero"/>
        <c:auto val="1"/>
        <c:lblAlgn val="ctr"/>
        <c:lblOffset val="100"/>
        <c:noMultiLvlLbl val="0"/>
      </c:catAx>
      <c:valAx>
        <c:axId val="537225442"/>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951179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84d1b6e-a8da-4f86-98e4-5f870d9e273c}"/>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2.xlsx]Task Status Summary!PivotTable1</c:name>
    <c:fmtId val="2"/>
  </c:pivotSource>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Total</a:t>
            </a:r>
          </a:p>
        </c:rich>
      </c:tx>
      <c:layout/>
      <c:overlay val="0"/>
      <c:spPr>
        <a:noFill/>
        <a:ln>
          <a:noFill/>
        </a:ln>
        <a:effectLst/>
      </c:spPr>
    </c:title>
    <c:autoTitleDeleted val="0"/>
    <c:plotArea>
      <c:layout/>
      <c:pieChart>
        <c:varyColors val="1"/>
        <c:ser>
          <c:idx val="0"/>
          <c:order val="0"/>
          <c:tx>
            <c:strRef>
              <c:f>'Task Status Summary'!$B$3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inEnd"/>
            <c:showLegendKey val="0"/>
            <c:showVal val="1"/>
            <c:showCatName val="1"/>
            <c:showSerName val="0"/>
            <c:showPercent val="1"/>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'Task Status Summary'!$A$4:$A$8</c:f>
              <c:strCache>
                <c:ptCount val="4"/>
                <c:pt idx="0">
                  <c:v>Completed</c:v>
                </c:pt>
                <c:pt idx="1">
                  <c:v>Delayed</c:v>
                </c:pt>
                <c:pt idx="2">
                  <c:v>In Progress</c:v>
                </c:pt>
                <c:pt idx="3">
                  <c:v>Not Started</c:v>
                </c:pt>
              </c:strCache>
            </c:strRef>
          </c:cat>
          <c:val>
            <c:numRef>
              <c:f>'Task Status Summary'!$B$4:$B$8</c:f>
              <c:numCache>
                <c:formatCode>General</c:formatCode>
                <c:ptCount val="4"/>
                <c:pt idx="0">
                  <c:v>3</c:v>
                </c:pt>
                <c:pt idx="1">
                  <c:v>1</c:v>
                </c:pt>
                <c:pt idx="2">
                  <c:v>3</c:v>
                </c:pt>
                <c:pt idx="3">
                  <c:v>1</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88e2d21-4564-494b-a00e-3f60f27eb8f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Analysis 2.xlsx]Hours by Dept!PivotTable2</c:name>
    <c:fmtId val="2"/>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Total</a:t>
            </a:r>
          </a:p>
        </c:rich>
      </c:tx>
      <c:layout/>
      <c:overlay val="0"/>
      <c:spPr>
        <a:noFill/>
        <a:ln>
          <a:noFill/>
        </a:ln>
        <a:effectLst/>
      </c:spPr>
    </c:title>
    <c:autoTitleDeleted val="0"/>
    <c:plotArea>
      <c:layout/>
      <c:barChart>
        <c:barDir val="col"/>
        <c:grouping val="clustered"/>
        <c:varyColors val="0"/>
        <c:ser>
          <c:idx val="0"/>
          <c:order val="0"/>
          <c:tx>
            <c:strRef>
              <c:f>'Hours by Dept'!$B$3</c:f>
              <c:strCache>
                <c:ptCount val="1"/>
                <c:pt idx="0">
                  <c:v>Total</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'Hours by Dept'!$A$4:$A$8</c:f>
              <c:strCache>
                <c:ptCount val="4"/>
                <c:pt idx="0">
                  <c:v>Admin</c:v>
                </c:pt>
                <c:pt idx="1">
                  <c:v>Finance</c:v>
                </c:pt>
                <c:pt idx="2">
                  <c:v>HR</c:v>
                </c:pt>
                <c:pt idx="3">
                  <c:v>IT</c:v>
                </c:pt>
              </c:strCache>
            </c:strRef>
          </c:cat>
          <c:val>
            <c:numRef>
              <c:f>'Hours by Dept'!$B$4:$B$8</c:f>
              <c:numCache>
                <c:formatCode>General</c:formatCode>
                <c:ptCount val="4"/>
                <c:pt idx="0">
                  <c:v>5</c:v>
                </c:pt>
                <c:pt idx="1">
                  <c:v>20</c:v>
                </c:pt>
                <c:pt idx="2">
                  <c:v>6</c:v>
                </c:pt>
                <c:pt idx="3">
                  <c:v>20</c:v>
                </c:pt>
              </c:numCache>
            </c:numRef>
          </c:val>
        </c:ser>
        <c:dLbls>
          <c:showLegendKey val="0"/>
          <c:showVal val="1"/>
          <c:showCatName val="0"/>
          <c:showSerName val="0"/>
          <c:showPercent val="0"/>
          <c:showBubbleSize val="0"/>
        </c:dLbls>
        <c:gapWidth val="260"/>
        <c:overlap val="-32"/>
        <c:axId val="832416982"/>
        <c:axId val="167563940"/>
      </c:barChart>
      <c:catAx>
        <c:axId val="832416982"/>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167563940"/>
        <c:crosses val="autoZero"/>
        <c:auto val="1"/>
        <c:lblAlgn val="ctr"/>
        <c:lblOffset val="100"/>
        <c:noMultiLvlLbl val="0"/>
      </c:catAx>
      <c:valAx>
        <c:axId val="167563940"/>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832416982"/>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6c526502-c253-46a8-b687-dd18c7f888bc}"/>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2.xlsx]Budget and Hours!PivotTable3</c:name>
    <c:fmtId val="4"/>
  </c:pivotSource>
  <c:chart>
    <c:title>
      <c:tx>
        <c:rich>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r>
              <a:rPr lang="en-CA" altLang="zh-CN"/>
              <a:t>Budget Vs Hours Spent</a:t>
            </a:r>
            <a:endParaRPr lang="en-CA" altLang="zh-CN"/>
          </a:p>
        </c:rich>
      </c:tx>
      <c:layout/>
      <c:overlay val="0"/>
      <c:spPr>
        <a:noFill/>
        <a:ln>
          <a:noFill/>
        </a:ln>
        <a:effectLst/>
      </c:spPr>
    </c:title>
    <c:autoTitleDeleted val="0"/>
    <c:plotArea>
      <c:layout/>
      <c:barChart>
        <c:barDir val="col"/>
        <c:grouping val="clustered"/>
        <c:varyColors val="0"/>
        <c:ser>
          <c:idx val="0"/>
          <c:order val="0"/>
          <c:tx>
            <c:strRef>
              <c:f>'Budget and Hours'!$B$3</c:f>
              <c:strCache>
                <c:ptCount val="1"/>
                <c:pt idx="0">
                  <c:v>Sum of Budget ($)</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'Budget and Hours'!$A$4:$A$8</c:f>
              <c:strCache>
                <c:ptCount val="4"/>
                <c:pt idx="0">
                  <c:v>Ahmed</c:v>
                </c:pt>
                <c:pt idx="1">
                  <c:v>Fatima</c:v>
                </c:pt>
                <c:pt idx="2">
                  <c:v>John</c:v>
                </c:pt>
                <c:pt idx="3">
                  <c:v>Sarah</c:v>
                </c:pt>
              </c:strCache>
            </c:strRef>
          </c:cat>
          <c:val>
            <c:numRef>
              <c:f>'Budget and Hours'!$B$4:$B$8</c:f>
              <c:numCache>
                <c:formatCode>General</c:formatCode>
                <c:ptCount val="4"/>
                <c:pt idx="0">
                  <c:v>9700</c:v>
                </c:pt>
                <c:pt idx="1">
                  <c:v>500</c:v>
                </c:pt>
                <c:pt idx="2">
                  <c:v>11400</c:v>
                </c:pt>
                <c:pt idx="3">
                  <c:v>2100</c:v>
                </c:pt>
              </c:numCache>
            </c:numRef>
          </c:val>
        </c:ser>
        <c:ser>
          <c:idx val="1"/>
          <c:order val="1"/>
          <c:tx>
            <c:strRef>
              <c:f>'Budget and Hours'!$C$3</c:f>
              <c:strCache>
                <c:ptCount val="1"/>
                <c:pt idx="0">
                  <c:v>Sum of Hours Spent</c:v>
                </c:pt>
              </c:strCache>
            </c:strRef>
          </c:tx>
          <c:spPr>
            <a:solidFill>
              <a:schemeClr val="accent2"/>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'Budget and Hours'!$A$4:$A$8</c:f>
              <c:strCache>
                <c:ptCount val="4"/>
                <c:pt idx="0">
                  <c:v>Ahmed</c:v>
                </c:pt>
                <c:pt idx="1">
                  <c:v>Fatima</c:v>
                </c:pt>
                <c:pt idx="2">
                  <c:v>John</c:v>
                </c:pt>
                <c:pt idx="3">
                  <c:v>Sarah</c:v>
                </c:pt>
              </c:strCache>
            </c:strRef>
          </c:cat>
          <c:val>
            <c:numRef>
              <c:f>'Budget and Hours'!$C$4:$C$8</c:f>
              <c:numCache>
                <c:formatCode>General</c:formatCode>
                <c:ptCount val="4"/>
                <c:pt idx="0">
                  <c:v>20</c:v>
                </c:pt>
                <c:pt idx="1">
                  <c:v>5</c:v>
                </c:pt>
                <c:pt idx="2">
                  <c:v>20</c:v>
                </c:pt>
                <c:pt idx="3">
                  <c:v>6</c:v>
                </c:pt>
              </c:numCache>
            </c:numRef>
          </c:val>
        </c:ser>
        <c:dLbls>
          <c:showLegendKey val="0"/>
          <c:showVal val="1"/>
          <c:showCatName val="0"/>
          <c:showSerName val="0"/>
          <c:showPercent val="0"/>
          <c:showBubbleSize val="0"/>
        </c:dLbls>
        <c:gapWidth val="246"/>
        <c:overlap val="-28"/>
        <c:axId val="295117911"/>
        <c:axId val="537225442"/>
      </c:barChart>
      <c:catAx>
        <c:axId val="295117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37225442"/>
        <c:crosses val="autoZero"/>
        <c:auto val="1"/>
        <c:lblAlgn val="ctr"/>
        <c:lblOffset val="100"/>
        <c:noMultiLvlLbl val="0"/>
      </c:catAx>
      <c:valAx>
        <c:axId val="537225442"/>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951179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ebf85b9-d071-49bb-bc36-5b54c9422df0}"/>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8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304800</xdr:colOff>
      <xdr:row>1</xdr:row>
      <xdr:rowOff>13970</xdr:rowOff>
    </xdr:from>
    <xdr:to>
      <xdr:col>10</xdr:col>
      <xdr:colOff>597535</xdr:colOff>
      <xdr:row>16</xdr:row>
      <xdr:rowOff>42545</xdr:rowOff>
    </xdr:to>
    <xdr:graphicFrame>
      <xdr:nvGraphicFramePr>
        <xdr:cNvPr id="2" name="Chart 1" descr="7b0a202020202263686172745265734964223a20223230343735393537220a7d0a"/>
        <xdr:cNvGraphicFramePr/>
      </xdr:nvGraphicFramePr>
      <xdr:xfrm>
        <a:off x="3858260" y="194945"/>
        <a:ext cx="482663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85725</xdr:colOff>
      <xdr:row>9</xdr:row>
      <xdr:rowOff>33020</xdr:rowOff>
    </xdr:from>
    <xdr:to>
      <xdr:col>5</xdr:col>
      <xdr:colOff>320040</xdr:colOff>
      <xdr:row>20</xdr:row>
      <xdr:rowOff>180340</xdr:rowOff>
    </xdr:to>
    <xdr:graphicFrame>
      <xdr:nvGraphicFramePr>
        <xdr:cNvPr id="2" name="Chart 1" descr="7b0a202020202263686172745265734964223a202234363130333534220a7d0a"/>
        <xdr:cNvGraphicFramePr/>
      </xdr:nvGraphicFramePr>
      <xdr:xfrm>
        <a:off x="85725" y="1661795"/>
        <a:ext cx="4481195" cy="21380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56</xdr:col>
      <xdr:colOff>23495</xdr:colOff>
      <xdr:row>3</xdr:row>
      <xdr:rowOff>104775</xdr:rowOff>
    </xdr:from>
    <xdr:to>
      <xdr:col>63</xdr:col>
      <xdr:colOff>315595</xdr:colOff>
      <xdr:row>18</xdr:row>
      <xdr:rowOff>133350</xdr:rowOff>
    </xdr:to>
    <xdr:graphicFrame>
      <xdr:nvGraphicFramePr>
        <xdr:cNvPr id="2" name="Chart 1" descr="7b0a202020202263686172745265734964223a202234363130333534220a7d0a"/>
        <xdr:cNvGraphicFramePr/>
      </xdr:nvGraphicFramePr>
      <xdr:xfrm>
        <a:off x="38185725" y="6477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0</xdr:row>
      <xdr:rowOff>85725</xdr:rowOff>
    </xdr:from>
    <xdr:to>
      <xdr:col>12</xdr:col>
      <xdr:colOff>593090</xdr:colOff>
      <xdr:row>20</xdr:row>
      <xdr:rowOff>97155</xdr:rowOff>
    </xdr:to>
    <xdr:graphicFrame>
      <xdr:nvGraphicFramePr>
        <xdr:cNvPr id="3" name="Chart 2" descr="7b0a202020202263686172745265734964223a202234363130333534220a7d0a"/>
        <xdr:cNvGraphicFramePr/>
      </xdr:nvGraphicFramePr>
      <xdr:xfrm>
        <a:off x="4072255" y="85725"/>
        <a:ext cx="6184265" cy="36309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275590</xdr:colOff>
      <xdr:row>17</xdr:row>
      <xdr:rowOff>5715</xdr:rowOff>
    </xdr:from>
    <xdr:to>
      <xdr:col>8</xdr:col>
      <xdr:colOff>568325</xdr:colOff>
      <xdr:row>32</xdr:row>
      <xdr:rowOff>34290</xdr:rowOff>
    </xdr:to>
    <xdr:graphicFrame>
      <xdr:nvGraphicFramePr>
        <xdr:cNvPr id="2" name="Chart 1" descr="7b0a202020202263686172745265734964223a20223230343735393537220a7d0a"/>
        <xdr:cNvGraphicFramePr/>
      </xdr:nvGraphicFramePr>
      <xdr:xfrm>
        <a:off x="923290" y="3577590"/>
        <a:ext cx="482663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71120</xdr:colOff>
      <xdr:row>16</xdr:row>
      <xdr:rowOff>179070</xdr:rowOff>
    </xdr:from>
    <xdr:to>
      <xdr:col>21</xdr:col>
      <xdr:colOff>363855</xdr:colOff>
      <xdr:row>32</xdr:row>
      <xdr:rowOff>26670</xdr:rowOff>
    </xdr:to>
    <xdr:graphicFrame>
      <xdr:nvGraphicFramePr>
        <xdr:cNvPr id="3" name="Chart 2" descr="7b0a202020202263686172745265734964223a202234363130333534220a7d0a"/>
        <xdr:cNvGraphicFramePr/>
      </xdr:nvGraphicFramePr>
      <xdr:xfrm>
        <a:off x="10102215" y="3569970"/>
        <a:ext cx="4826635"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565785</xdr:colOff>
      <xdr:row>17</xdr:row>
      <xdr:rowOff>8890</xdr:rowOff>
    </xdr:from>
    <xdr:to>
      <xdr:col>14</xdr:col>
      <xdr:colOff>56515</xdr:colOff>
      <xdr:row>32</xdr:row>
      <xdr:rowOff>95885</xdr:rowOff>
    </xdr:to>
    <xdr:graphicFrame>
      <xdr:nvGraphicFramePr>
        <xdr:cNvPr id="4" name="Chart 3" descr="7b0a202020202263686172745265734964223a202234363130333534220a7d0a"/>
        <xdr:cNvGraphicFramePr/>
      </xdr:nvGraphicFramePr>
      <xdr:xfrm>
        <a:off x="5747385" y="3580765"/>
        <a:ext cx="4340225" cy="28016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88900</xdr:colOff>
      <xdr:row>4</xdr:row>
      <xdr:rowOff>8255</xdr:rowOff>
    </xdr:from>
    <xdr:to>
      <xdr:col>13</xdr:col>
      <xdr:colOff>622935</xdr:colOff>
      <xdr:row>15</xdr:row>
      <xdr:rowOff>106680</xdr:rowOff>
    </xdr:to>
    <mc:AlternateContent xmlns:mc="http://schemas.openxmlformats.org/markup-compatibility/2006">
      <mc:Choice xmlns:a14="http://schemas.microsoft.com/office/drawing/2010/main" Requires="a14">
        <xdr:graphicFrame>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76895" y="941705"/>
              <a:ext cx="1829435"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13</xdr:col>
      <xdr:colOff>530860</xdr:colOff>
      <xdr:row>4</xdr:row>
      <xdr:rowOff>8255</xdr:rowOff>
    </xdr:from>
    <xdr:to>
      <xdr:col>16</xdr:col>
      <xdr:colOff>417195</xdr:colOff>
      <xdr:row>15</xdr:row>
      <xdr:rowOff>106680</xdr:rowOff>
    </xdr:to>
    <mc:AlternateContent xmlns:mc="http://schemas.openxmlformats.org/markup-compatibility/2006">
      <mc:Choice xmlns:a14="http://schemas.microsoft.com/office/drawing/2010/main" Requires="a14">
        <xdr:graphicFrame>
          <xdr:nvGraphicFramePr>
            <xdr:cNvPr id="6" name="Assigned To"/>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9914255" y="941705"/>
              <a:ext cx="1829435"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416560</xdr:colOff>
      <xdr:row>3</xdr:row>
      <xdr:rowOff>175260</xdr:rowOff>
    </xdr:from>
    <xdr:to>
      <xdr:col>19</xdr:col>
      <xdr:colOff>302260</xdr:colOff>
      <xdr:row>15</xdr:row>
      <xdr:rowOff>92710</xdr:rowOff>
    </xdr:to>
    <mc:AlternateContent xmlns:mc="http://schemas.openxmlformats.org/markup-compatibility/2006">
      <mc:Choice xmlns:a14="http://schemas.microsoft.com/office/drawing/2010/main" Requires="a14">
        <xdr:graphicFrame>
          <xdr:nvGraphicFramePr>
            <xdr:cNvPr id="7"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743055" y="92773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78.8519560185" refreshedBy="Rashi" recordCount="8">
  <cacheSource type="worksheet">
    <worksheetSource name="TblOp"/>
  </cacheSource>
  <cacheFields count="15">
    <cacheField name="Department" numFmtId="0">
      <sharedItems count="4">
        <s v="Finance"/>
        <s v="HR"/>
        <s v="IT"/>
        <s v="Admin"/>
      </sharedItems>
    </cacheField>
    <cacheField name="Task" numFmtId="0">
      <sharedItems count="8">
        <s v="Prepare Q2 Report"/>
        <s v="Update Employee Records"/>
        <s v="System Maintenance"/>
        <s v="Office Supply Audit"/>
        <s v="Budget Forecasting"/>
        <s v="Training Session Prep"/>
        <s v="Software Updates"/>
        <s v="Meeting Coordination"/>
      </sharedItems>
    </cacheField>
    <cacheField name="Assigned To" numFmtId="0">
      <sharedItems count="4">
        <s v="Ahmed"/>
        <s v="Sarah"/>
        <s v="John"/>
        <s v="Fatima"/>
      </sharedItems>
    </cacheField>
    <cacheField name="Year" numFmtId="0">
      <sharedItems count="7">
        <s v="2026‑06‑01"/>
        <s v="2026‑06‑03"/>
        <s v="2026‑06‑05"/>
        <s v="2026‑06‑02"/>
        <s v="2026‑06‑10"/>
        <s v="2026‑06‑12"/>
        <s v="2026‑06‑15"/>
      </sharedItems>
    </cacheField>
    <cacheField name="Start Date" numFmtId="178">
      <sharedItems containsSemiMixedTypes="0" containsString="0" containsNonDate="0" containsDate="1" minDate="2026-06-01T00:00:00" maxDate="2026-06-15T00:00:00" count="7">
        <d v="2026-06-01T00:00:00"/>
        <d v="2026-06-03T00:00:00"/>
        <d v="2026-06-05T00:00:00"/>
        <d v="2026-06-02T00:00:00"/>
        <d v="2026-06-10T00:00:00"/>
        <d v="2026-06-12T00:00:00"/>
        <d v="2026-06-15T00:00:00"/>
      </sharedItems>
    </cacheField>
    <cacheField name="Year Due" numFmtId="0">
      <sharedItems count="8">
        <s v="2026‑06‑14"/>
        <s v="2026‑06‑10"/>
        <s v="2026‑06‑20"/>
        <s v="2026‑06‑07"/>
        <s v="2026‑06‑25"/>
        <s v="2026‑06‑18"/>
        <s v="2026‑06‑30"/>
        <s v="2026‑06‑03"/>
      </sharedItems>
    </cacheField>
    <cacheField name="Due Date" numFmtId="178">
      <sharedItems containsSemiMixedTypes="0" containsString="0" containsNonDate="0" containsDate="1" minDate="2026-06-03T00:00:00" maxDate="2026-06-30T00:00:00" count="8">
        <d v="2026-06-14T00:00:00"/>
        <d v="2026-06-10T00:00:00"/>
        <d v="2026-06-20T00:00:00"/>
        <d v="2026-06-07T00:00:00"/>
        <d v="2026-06-25T00:00:00"/>
        <d v="2026-06-18T00:00:00"/>
        <d v="2026-06-30T00:00:00"/>
        <d v="2026-06-03T00:00:00"/>
      </sharedItems>
    </cacheField>
    <cacheField name="Status" numFmtId="0">
      <sharedItems count="4">
        <s v="In Progress"/>
        <s v="Completed"/>
        <s v="Delayed"/>
        <s v="Not Started"/>
      </sharedItems>
    </cacheField>
    <cacheField name="Priority" numFmtId="0">
      <sharedItems count="3">
        <s v="High"/>
        <s v="Medium"/>
        <s v="Low"/>
      </sharedItems>
    </cacheField>
    <cacheField name="Hours Spent" numFmtId="0">
      <sharedItems containsSemiMixedTypes="0" containsString="0" containsNumber="1" containsInteger="1" minValue="0" maxValue="15" count="8">
        <n v="12"/>
        <n v="6"/>
        <n v="15"/>
        <n v="3"/>
        <n v="8"/>
        <n v="0"/>
        <n v="5"/>
        <n v="2"/>
      </sharedItems>
    </cacheField>
    <cacheField name="Budget ($)" numFmtId="0">
      <sharedItems containsSemiMixedTypes="0" containsString="0" containsNumber="1" containsInteger="1" minValue="0" maxValue="7800" count="8">
        <n v="4500"/>
        <n v="1200"/>
        <n v="7800"/>
        <n v="350"/>
        <n v="5200"/>
        <n v="900"/>
        <n v="3600"/>
        <n v="150"/>
      </sharedItems>
    </cacheField>
    <cacheField name="Completion %" numFmtId="9">
      <sharedItems containsSemiMixedTypes="0" containsString="0" containsNumber="1" minValue="0" maxValue="1" count="6">
        <n v="0.65"/>
        <n v="1"/>
        <n v="0.4"/>
        <n v="0.5"/>
        <n v="0"/>
        <n v="0.2"/>
      </sharedItems>
    </cacheField>
    <cacheField name="Days Remaining" numFmtId="0">
      <sharedItems containsSemiMixedTypes="0" containsString="0" containsNumber="1" containsInteger="1" minValue="0" maxValue="25" count="6">
        <n v="9"/>
        <n v="0"/>
        <n v="15"/>
        <n v="20"/>
        <n v="13"/>
        <n v="25"/>
      </sharedItems>
    </cacheField>
    <cacheField name="Over-Budget Flag" numFmtId="0">
      <sharedItems count="1">
        <s v="OK"/>
      </sharedItems>
    </cacheField>
    <cacheField name="Task Duration" numFmtId="0">
      <sharedItems containsSemiMixedTypes="0" containsString="0" containsNumber="1" containsInteger="1" minValue="0" maxValue="15" count="6">
        <n v="13"/>
        <n v="7"/>
        <n v="15"/>
        <n v="5"/>
        <n v="6"/>
        <n v="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x v="0"/>
    <x v="0"/>
    <x v="0"/>
    <x v="0"/>
    <x v="0"/>
    <x v="0"/>
    <x v="0"/>
    <x v="0"/>
    <x v="0"/>
    <x v="0"/>
    <x v="0"/>
    <x v="0"/>
    <x v="0"/>
    <x v="0"/>
    <x v="0"/>
  </r>
  <r>
    <x v="1"/>
    <x v="1"/>
    <x v="1"/>
    <x v="1"/>
    <x v="1"/>
    <x v="1"/>
    <x v="1"/>
    <x v="1"/>
    <x v="1"/>
    <x v="1"/>
    <x v="1"/>
    <x v="1"/>
    <x v="1"/>
    <x v="0"/>
    <x v="1"/>
  </r>
  <r>
    <x v="2"/>
    <x v="2"/>
    <x v="2"/>
    <x v="2"/>
    <x v="2"/>
    <x v="2"/>
    <x v="2"/>
    <x v="2"/>
    <x v="0"/>
    <x v="2"/>
    <x v="2"/>
    <x v="2"/>
    <x v="2"/>
    <x v="0"/>
    <x v="2"/>
  </r>
  <r>
    <x v="3"/>
    <x v="3"/>
    <x v="3"/>
    <x v="3"/>
    <x v="3"/>
    <x v="3"/>
    <x v="3"/>
    <x v="1"/>
    <x v="2"/>
    <x v="3"/>
    <x v="3"/>
    <x v="1"/>
    <x v="1"/>
    <x v="0"/>
    <x v="3"/>
  </r>
  <r>
    <x v="0"/>
    <x v="4"/>
    <x v="0"/>
    <x v="4"/>
    <x v="4"/>
    <x v="4"/>
    <x v="4"/>
    <x v="0"/>
    <x v="0"/>
    <x v="4"/>
    <x v="4"/>
    <x v="3"/>
    <x v="3"/>
    <x v="0"/>
    <x v="2"/>
  </r>
  <r>
    <x v="1"/>
    <x v="5"/>
    <x v="1"/>
    <x v="5"/>
    <x v="5"/>
    <x v="5"/>
    <x v="5"/>
    <x v="3"/>
    <x v="1"/>
    <x v="5"/>
    <x v="5"/>
    <x v="4"/>
    <x v="4"/>
    <x v="0"/>
    <x v="4"/>
  </r>
  <r>
    <x v="2"/>
    <x v="6"/>
    <x v="2"/>
    <x v="6"/>
    <x v="6"/>
    <x v="6"/>
    <x v="6"/>
    <x v="0"/>
    <x v="0"/>
    <x v="6"/>
    <x v="6"/>
    <x v="5"/>
    <x v="5"/>
    <x v="0"/>
    <x v="2"/>
  </r>
  <r>
    <x v="3"/>
    <x v="7"/>
    <x v="3"/>
    <x v="0"/>
    <x v="0"/>
    <x v="7"/>
    <x v="7"/>
    <x v="1"/>
    <x v="2"/>
    <x v="7"/>
    <x v="7"/>
    <x v="1"/>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8" firstHeaderRow="1" firstDataRow="1" firstDataCol="1"/>
  <pivotFields count="15">
    <pivotField compact="0" showAll="0">
      <items count="5">
        <item x="3"/>
        <item x="0"/>
        <item x="1"/>
        <item x="2"/>
        <item t="default"/>
      </items>
    </pivotField>
    <pivotField compact="0" showAll="0"/>
    <pivotField compact="0" showAll="0"/>
    <pivotField compact="0" showAll="0"/>
    <pivotField compact="0" numFmtId="178" showAll="0"/>
    <pivotField compact="0" showAll="0"/>
    <pivotField compact="0" numFmtId="178" showAll="0"/>
    <pivotField axis="axisRow" dataField="1" compact="0" showAll="0">
      <items count="5">
        <item x="1"/>
        <item x="2"/>
        <item x="0"/>
        <item x="3"/>
        <item t="default"/>
      </items>
    </pivotField>
    <pivotField compact="0" showAll="0"/>
    <pivotField compact="0" showAll="0"/>
    <pivotField compact="0" showAll="0"/>
    <pivotField compact="0" numFmtId="9" showAll="0"/>
    <pivotField compact="0" showAll="0"/>
    <pivotField compact="0" showAll="0"/>
    <pivotField compact="0" showAll="0"/>
  </pivotFields>
  <rowFields count="1">
    <field x="7"/>
  </rowFields>
  <rowItems count="5">
    <i>
      <x/>
    </i>
    <i>
      <x v="1"/>
    </i>
    <i>
      <x v="2"/>
    </i>
    <i>
      <x v="3"/>
    </i>
    <i t="grand">
      <x/>
    </i>
  </rowItems>
  <colItems count="1">
    <i/>
  </colItems>
  <dataFields count="1">
    <dataField name="Count of Status" fld="7"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8" firstHeaderRow="1" firstDataRow="1" firstDataCol="1"/>
  <pivotFields count="15">
    <pivotField axis="axisRow" compact="0" showAll="0">
      <items count="5">
        <item x="3"/>
        <item x="0"/>
        <item x="1"/>
        <item x="2"/>
        <item t="default"/>
      </items>
    </pivotField>
    <pivotField compact="0" showAll="0">
      <items count="9">
        <item x="4"/>
        <item x="7"/>
        <item x="3"/>
        <item x="0"/>
        <item x="6"/>
        <item x="2"/>
        <item x="5"/>
        <item x="1"/>
        <item t="default"/>
      </items>
    </pivotField>
    <pivotField compact="0" showAll="0">
      <items count="5">
        <item x="0"/>
        <item x="3"/>
        <item x="2"/>
        <item x="1"/>
        <item t="default"/>
      </items>
    </pivotField>
    <pivotField compact="0" showAll="0">
      <items count="8">
        <item x="0"/>
        <item x="3"/>
        <item x="1"/>
        <item x="2"/>
        <item x="4"/>
        <item x="5"/>
        <item x="6"/>
        <item t="default"/>
      </items>
    </pivotField>
    <pivotField compact="0" numFmtId="178" showAll="0">
      <items count="8">
        <item x="0"/>
        <item x="3"/>
        <item x="1"/>
        <item x="2"/>
        <item x="4"/>
        <item x="5"/>
        <item x="6"/>
        <item t="default"/>
      </items>
    </pivotField>
    <pivotField compact="0" showAll="0">
      <items count="9">
        <item x="7"/>
        <item x="3"/>
        <item x="1"/>
        <item x="0"/>
        <item x="5"/>
        <item x="2"/>
        <item x="4"/>
        <item x="6"/>
        <item t="default"/>
      </items>
    </pivotField>
    <pivotField compact="0" numFmtId="178" showAll="0">
      <items count="9">
        <item x="7"/>
        <item x="3"/>
        <item x="1"/>
        <item x="0"/>
        <item x="5"/>
        <item x="2"/>
        <item x="4"/>
        <item x="6"/>
        <item t="default"/>
      </items>
    </pivotField>
    <pivotField compact="0" showAll="0">
      <items count="5">
        <item x="1"/>
        <item x="2"/>
        <item x="0"/>
        <item x="3"/>
        <item t="default"/>
      </items>
    </pivotField>
    <pivotField compact="0" showAll="0">
      <items count="4">
        <item x="0"/>
        <item x="2"/>
        <item x="1"/>
        <item t="default"/>
      </items>
    </pivotField>
    <pivotField dataField="1" compact="0" showAll="0">
      <items count="9">
        <item x="5"/>
        <item x="7"/>
        <item x="3"/>
        <item x="6"/>
        <item x="1"/>
        <item x="4"/>
        <item x="0"/>
        <item x="2"/>
        <item t="default"/>
      </items>
    </pivotField>
    <pivotField compact="0" showAll="0">
      <items count="9">
        <item x="7"/>
        <item x="3"/>
        <item x="5"/>
        <item x="1"/>
        <item x="6"/>
        <item x="0"/>
        <item x="4"/>
        <item x="2"/>
        <item t="default"/>
      </items>
    </pivotField>
    <pivotField compact="0" numFmtId="9" showAll="0">
      <items count="7">
        <item x="4"/>
        <item x="5"/>
        <item x="2"/>
        <item x="3"/>
        <item x="0"/>
        <item x="1"/>
        <item t="default"/>
      </items>
    </pivotField>
    <pivotField compact="0" showAll="0">
      <items count="7">
        <item x="1"/>
        <item x="0"/>
        <item x="4"/>
        <item x="2"/>
        <item x="3"/>
        <item x="5"/>
        <item t="default"/>
      </items>
    </pivotField>
    <pivotField compact="0" showAll="0">
      <items count="2">
        <item x="0"/>
        <item t="default"/>
      </items>
    </pivotField>
    <pivotField compact="0" showAll="0">
      <items count="7">
        <item x="5"/>
        <item x="3"/>
        <item x="4"/>
        <item x="1"/>
        <item x="0"/>
        <item x="2"/>
        <item t="default"/>
      </items>
    </pivotField>
  </pivotFields>
  <rowFields count="1">
    <field x="0"/>
  </rowFields>
  <rowItems count="5">
    <i>
      <x/>
    </i>
    <i>
      <x v="1"/>
    </i>
    <i>
      <x v="2"/>
    </i>
    <i>
      <x v="3"/>
    </i>
    <i t="grand">
      <x/>
    </i>
  </rowItems>
  <colItems count="1">
    <i/>
  </colItems>
  <dataFields count="1">
    <dataField name="Sum of Hours Spent" fld="9"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C8" firstHeaderRow="0" firstDataRow="1" firstDataCol="1"/>
  <pivotFields count="15">
    <pivotField compact="0" showAll="0">
      <items count="5">
        <item x="3"/>
        <item x="0"/>
        <item x="1"/>
        <item x="2"/>
        <item t="default"/>
      </items>
    </pivotField>
    <pivotField compact="0" showAll="0"/>
    <pivotField axis="axisRow" compact="0" showAll="0">
      <items count="5">
        <item x="0"/>
        <item x="3"/>
        <item x="2"/>
        <item x="1"/>
        <item t="default"/>
      </items>
    </pivotField>
    <pivotField compact="0" showAll="0"/>
    <pivotField compact="0" numFmtId="178" showAll="0"/>
    <pivotField compact="0" showAll="0"/>
    <pivotField compact="0" numFmtId="178" showAll="0"/>
    <pivotField compact="0" showAll="0"/>
    <pivotField compact="0" showAll="0"/>
    <pivotField dataField="1" compact="0" showAll="0">
      <items count="9">
        <item x="5"/>
        <item x="7"/>
        <item x="3"/>
        <item x="6"/>
        <item x="1"/>
        <item x="4"/>
        <item x="0"/>
        <item x="2"/>
        <item t="default"/>
      </items>
    </pivotField>
    <pivotField dataField="1" compact="0" showAll="0">
      <items count="9">
        <item x="7"/>
        <item x="3"/>
        <item x="5"/>
        <item x="1"/>
        <item x="6"/>
        <item x="0"/>
        <item x="4"/>
        <item x="2"/>
        <item t="default"/>
      </items>
    </pivotField>
    <pivotField compact="0" numFmtId="9" showAll="0"/>
    <pivotField compact="0" showAll="0"/>
    <pivotField compact="0" showAll="0"/>
    <pivotField compact="0" showAll="0"/>
  </pivotFields>
  <rowFields count="1">
    <field x="2"/>
  </rowFields>
  <rowItems count="5">
    <i>
      <x/>
    </i>
    <i>
      <x v="1"/>
    </i>
    <i>
      <x v="2"/>
    </i>
    <i>
      <x v="3"/>
    </i>
    <i t="grand">
      <x/>
    </i>
  </rowItems>
  <colFields count="1">
    <field x="-2"/>
  </colFields>
  <colItems count="2">
    <i>
      <x/>
    </i>
    <i i="1">
      <x v="1"/>
    </i>
  </colItems>
  <dataFields count="2">
    <dataField name="Sum of Budget ($)" fld="10" baseField="0" baseItem="0"/>
    <dataField name="Sum of Hours Spent" fld="9"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2"/>
  </pivotTables>
  <data>
    <tabular pivotCacheId="1">
      <items count="4">
        <i x="3" s="1"/>
        <i x="0" s="1"/>
        <i x="1" s="1"/>
        <i x="2"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ssigned_To" sourceName="Assigned To">
  <pivotTables>
    <pivotTable tabId="3" name="PivotTable2"/>
  </pivotTables>
  <data>
    <tabular pivotCacheId="1">
      <items count="4">
        <i x="0" s="1"/>
        <i x="3" s="1"/>
        <i x="2" s="1"/>
        <i x="1"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3" name="PivotTable2"/>
  </pivotTables>
  <data>
    <tabular pivotCacheId="1">
      <items count="4">
        <i x="1" s="1"/>
        <i x="2" s="1"/>
        <i x="0" s="1"/>
        <i x="3"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25425"/>
  <slicer name="Assigned To" cache="Slicer_Assigned_To" caption="Assigned To" rowHeight="225425"/>
  <slicer name="Status" cache="Slicer_Status" caption="Status" rowHeight="225425"/>
</slicers>
</file>

<file path=xl/tables/table1.xml><?xml version="1.0" encoding="utf-8"?>
<table xmlns="http://schemas.openxmlformats.org/spreadsheetml/2006/main" id="1" name="TblOp" displayName="TblOp" ref="B5:P13" totalsRowShown="0">
  <autoFilter xmlns:etc="http://www.wps.cn/officeDocument/2017/etCustomData" ref="B5:P13" etc:filterBottomFollowUsedRange="0"/>
  <tableColumns count="15">
    <tableColumn id="1" name="Department" dataDxfId="0"/>
    <tableColumn id="2" name="Task" dataDxfId="1"/>
    <tableColumn id="3" name="Assigned To" dataDxfId="2"/>
    <tableColumn id="4" name="Year" dataDxfId="3"/>
    <tableColumn id="14" name="Start Date" dataDxfId="4">
      <calculatedColumnFormula>DATE(LEFT(E6,4),MID(E6,6,2),RIGHT(E6,2))</calculatedColumnFormula>
    </tableColumn>
    <tableColumn id="5" name="Year Due" dataDxfId="5"/>
    <tableColumn id="15" name="Due Date" dataDxfId="6">
      <calculatedColumnFormula>DATE(LEFT(G6,4),MID(G6,6,2),RIGHT(G6,2))</calculatedColumnFormula>
    </tableColumn>
    <tableColumn id="6" name="Status" dataDxfId="7"/>
    <tableColumn id="7" name="Priority" dataDxfId="8"/>
    <tableColumn id="8" name="Hours Spent" dataDxfId="9"/>
    <tableColumn id="9" name="Budget ($)"/>
    <tableColumn id="10" name="Completion %" dataDxfId="10"/>
    <tableColumn id="11" name="Days Remaining" dataDxfId="11">
      <calculatedColumnFormula>IF(TblOp[[#This Row],[Status]]="Completed",0,TblOp[[#This Row],[Due Date]]-TODAY())</calculatedColumnFormula>
    </tableColumn>
    <tableColumn id="12" name="Over-Budget Flag" dataDxfId="12">
      <calculatedColumnFormula>IF(TblOp[[#This Row],[Hours Spent]]*50&gt;TblOp[[#This Row],[Budget ($)]],"Over Budget","OK")</calculatedColumnFormula>
    </tableColumn>
    <tableColumn id="13" name="Task Duration" dataDxfId="13">
      <calculatedColumnFormula>TblOp[[#This Row],[Due Date]]-TblOp[[#This Row],[Start Date]]</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43"/>
  <sheetViews>
    <sheetView tabSelected="1" zoomScale="79" zoomScaleNormal="79" workbookViewId="0">
      <selection activeCell="H2" sqref="H2"/>
    </sheetView>
  </sheetViews>
  <sheetFormatPr defaultColWidth="9.02654867256637" defaultRowHeight="14.25"/>
  <cols>
    <col min="2" max="2" width="13.8849557522124" customWidth="1"/>
    <col min="3" max="3" width="13.7433628318584" customWidth="1"/>
    <col min="4" max="4" width="11.8230088495575" customWidth="1"/>
    <col min="5" max="5" width="10.8938053097345" hidden="1" customWidth="1"/>
    <col min="6" max="6" width="11.8849557522124" style="13" customWidth="1"/>
    <col min="7" max="7" width="11.8849557522124" hidden="1" customWidth="1"/>
    <col min="8" max="10" width="12.0884955752212" customWidth="1"/>
    <col min="11" max="11" width="14.5398230088496" style="14" customWidth="1"/>
    <col min="12" max="12" width="11.6283185840708" style="14" customWidth="1"/>
    <col min="13" max="13" width="13.9469026548673" style="14" customWidth="1"/>
    <col min="14" max="14" width="11.4247787610619" style="14" customWidth="1"/>
    <col min="15" max="15" width="11.6902654867257" style="14" customWidth="1"/>
    <col min="16" max="16" width="17.646017699115" style="14" customWidth="1"/>
  </cols>
  <sheetData>
    <row r="1" ht="23.25" spans="2:19">
      <c r="B1" s="2" t="s">
        <v>0</v>
      </c>
      <c r="C1" s="3"/>
      <c r="D1" s="3"/>
      <c r="E1" s="3"/>
      <c r="F1" s="15"/>
    </row>
    <row r="2" ht="21" spans="2:19">
      <c r="B2" s="5" t="s">
        <v>1</v>
      </c>
      <c r="C2" s="6"/>
      <c r="D2" s="6"/>
      <c r="E2" s="7">
        <f>COUNTIF(TblOp[Status],"Completed")</f>
        <v>3</v>
      </c>
      <c r="F2" s="16">
        <f>COUNTIF(TblOp[Status],"Completed")</f>
        <v>3</v>
      </c>
      <c r="K2" s="17"/>
    </row>
    <row r="3" ht="21" spans="2:19">
      <c r="B3" s="9" t="s">
        <v>2</v>
      </c>
      <c r="C3" s="10"/>
      <c r="D3" s="10"/>
      <c r="E3" s="11">
        <f>AVERAGE(TblOp[Completion %])</f>
        <v>0.59375</v>
      </c>
      <c r="F3" s="18">
        <f>AVERAGE(TblOp[Completion %])</f>
        <v>0.59375</v>
      </c>
    </row>
    <row r="4" ht="12" customHeight="1"/>
    <row r="5" ht="42" customHeight="1" spans="2:19">
      <c r="B5" s="19" t="s">
        <v>3</v>
      </c>
      <c r="C5" s="19" t="s">
        <v>4</v>
      </c>
      <c r="D5" s="19" t="s">
        <v>5</v>
      </c>
      <c r="E5" s="19" t="s">
        <v>6</v>
      </c>
      <c r="F5" s="20" t="s">
        <v>7</v>
      </c>
      <c r="G5" s="19" t="s">
        <v>8</v>
      </c>
      <c r="H5" s="19" t="s">
        <v>9</v>
      </c>
      <c r="I5" s="19" t="s">
        <v>10</v>
      </c>
      <c r="J5" s="19" t="s">
        <v>11</v>
      </c>
      <c r="K5" s="19" t="s">
        <v>12</v>
      </c>
      <c r="L5" s="19" t="s">
        <v>13</v>
      </c>
      <c r="M5" s="19" t="s">
        <v>14</v>
      </c>
      <c r="N5" s="21" t="s">
        <v>15</v>
      </c>
      <c r="O5" s="21" t="s">
        <v>16</v>
      </c>
      <c r="P5" s="21" t="s">
        <v>17</v>
      </c>
    </row>
    <row r="6" ht="28.5" spans="2:19">
      <c r="B6" s="19" t="s">
        <v>18</v>
      </c>
      <c r="C6" s="22" t="s">
        <v>19</v>
      </c>
      <c r="D6" s="22" t="s">
        <v>20</v>
      </c>
      <c r="E6" s="22" t="s">
        <v>21</v>
      </c>
      <c r="F6" s="23">
        <f>DATE(LEFT(E6,4),MID(E6,6,2),RIGHT(E6,2))</f>
        <v>46174</v>
      </c>
      <c r="G6" s="22" t="s">
        <v>22</v>
      </c>
      <c r="H6" s="23">
        <f>DATE(LEFT(G6,4),MID(G6,6,2),RIGHT(G6,2))</f>
        <v>46187</v>
      </c>
      <c r="I6" s="22" t="s">
        <v>23</v>
      </c>
      <c r="J6" s="22" t="s">
        <v>24</v>
      </c>
      <c r="K6" s="21">
        <v>12</v>
      </c>
      <c r="L6" s="24">
        <v>4500</v>
      </c>
      <c r="M6" s="25">
        <v>0.65</v>
      </c>
      <c r="N6" s="26">
        <f ca="1">IF(TblOp[[#This Row],[Status]]="Completed",0,TblOp[[#This Row],[Due Date]]-TODAY())</f>
        <v>-110</v>
      </c>
      <c r="O6" s="27" t="str">
        <f>IF(TblOp[[#This Row],[Hours Spent]]*50&gt;TblOp[[#This Row],[Budget ($)]],"Over Budget","OK")</f>
        <v>OK</v>
      </c>
      <c r="P6" s="28">
        <f>TblOp[[#This Row],[Due Date]]-TblOp[[#This Row],[Start Date]]</f>
        <v>13</v>
      </c>
      <c r="R6" s="29"/>
    </row>
    <row r="7" ht="42.75" spans="2:19">
      <c r="B7" s="19" t="s">
        <v>25</v>
      </c>
      <c r="C7" s="22" t="s">
        <v>26</v>
      </c>
      <c r="D7" s="22" t="s">
        <v>27</v>
      </c>
      <c r="E7" s="22" t="s">
        <v>28</v>
      </c>
      <c r="F7" s="23">
        <f t="shared" ref="F6:F13" si="0">DATE(LEFT(E7,4),MID(E7,6,2),RIGHT(E7,2))</f>
        <v>46176</v>
      </c>
      <c r="G7" s="22" t="s">
        <v>29</v>
      </c>
      <c r="H7" s="23">
        <f t="shared" ref="H7:H13" si="1">DATE(LEFT(G7,4),MID(G7,6,2),RIGHT(G7,2))</f>
        <v>46183</v>
      </c>
      <c r="I7" s="22" t="s">
        <v>30</v>
      </c>
      <c r="J7" s="22" t="s">
        <v>31</v>
      </c>
      <c r="K7" s="21">
        <v>6</v>
      </c>
      <c r="L7" s="24">
        <v>1200</v>
      </c>
      <c r="M7" s="25">
        <v>1</v>
      </c>
      <c r="N7" s="30">
        <f ca="1">IF(TblOp[[#This Row],[Status]]="Completed",0,TblOp[[#This Row],[Due Date]]-TODAY())</f>
        <v>0</v>
      </c>
      <c r="O7" s="30" t="str">
        <f>IF(TblOp[[#This Row],[Hours Spent]]*50&gt;TblOp[[#This Row],[Budget ($)]],"Over Budget","OK")</f>
        <v>OK</v>
      </c>
      <c r="P7" s="30">
        <f>TblOp[[#This Row],[Due Date]]-TblOp[[#This Row],[Start Date]]</f>
        <v>7</v>
      </c>
    </row>
    <row r="8" ht="28.5" spans="2:19">
      <c r="B8" s="19" t="s">
        <v>32</v>
      </c>
      <c r="C8" s="22" t="s">
        <v>33</v>
      </c>
      <c r="D8" s="22" t="s">
        <v>34</v>
      </c>
      <c r="E8" s="22" t="s">
        <v>35</v>
      </c>
      <c r="F8" s="23">
        <f t="shared" si="0"/>
        <v>46178</v>
      </c>
      <c r="G8" s="22" t="s">
        <v>36</v>
      </c>
      <c r="H8" s="23">
        <f t="shared" si="1"/>
        <v>46193</v>
      </c>
      <c r="I8" s="22" t="s">
        <v>37</v>
      </c>
      <c r="J8" s="22" t="s">
        <v>24</v>
      </c>
      <c r="K8" s="21">
        <v>15</v>
      </c>
      <c r="L8" s="24">
        <v>7800</v>
      </c>
      <c r="M8" s="25">
        <v>0.4</v>
      </c>
      <c r="N8" s="30">
        <f ca="1">IF(TblOp[[#This Row],[Status]]="Completed",0,TblOp[[#This Row],[Due Date]]-TODAY())</f>
        <v>-104</v>
      </c>
      <c r="O8" s="30" t="str">
        <f>IF(TblOp[[#This Row],[Hours Spent]]*50&gt;TblOp[[#This Row],[Budget ($)]],"Over Budget","OK")</f>
        <v>OK</v>
      </c>
      <c r="P8" s="30">
        <f>TblOp[[#This Row],[Due Date]]-TblOp[[#This Row],[Start Date]]</f>
        <v>15</v>
      </c>
    </row>
    <row r="9" ht="28.5" spans="2:19">
      <c r="B9" s="19" t="s">
        <v>38</v>
      </c>
      <c r="C9" s="22" t="s">
        <v>39</v>
      </c>
      <c r="D9" s="22" t="s">
        <v>40</v>
      </c>
      <c r="E9" s="22" t="s">
        <v>41</v>
      </c>
      <c r="F9" s="23">
        <f t="shared" si="0"/>
        <v>46175</v>
      </c>
      <c r="G9" s="22" t="s">
        <v>42</v>
      </c>
      <c r="H9" s="23">
        <f t="shared" si="1"/>
        <v>46180</v>
      </c>
      <c r="I9" s="22" t="s">
        <v>30</v>
      </c>
      <c r="J9" s="22" t="s">
        <v>43</v>
      </c>
      <c r="K9" s="21">
        <v>3</v>
      </c>
      <c r="L9" s="21">
        <v>350</v>
      </c>
      <c r="M9" s="25">
        <v>1</v>
      </c>
      <c r="N9" s="30">
        <f ca="1">IF(TblOp[[#This Row],[Status]]="Completed",0,TblOp[[#This Row],[Due Date]]-TODAY())</f>
        <v>0</v>
      </c>
      <c r="O9" s="30" t="str">
        <f>IF(TblOp[[#This Row],[Hours Spent]]*50&gt;TblOp[[#This Row],[Budget ($)]],"Over Budget","OK")</f>
        <v>OK</v>
      </c>
      <c r="P9" s="30">
        <f>TblOp[[#This Row],[Due Date]]-TblOp[[#This Row],[Start Date]]</f>
        <v>5</v>
      </c>
    </row>
    <row r="10" ht="28.5" spans="2:19">
      <c r="B10" s="19" t="s">
        <v>18</v>
      </c>
      <c r="C10" s="22" t="s">
        <v>44</v>
      </c>
      <c r="D10" s="22" t="s">
        <v>20</v>
      </c>
      <c r="E10" s="22" t="s">
        <v>29</v>
      </c>
      <c r="F10" s="23">
        <f t="shared" si="0"/>
        <v>46183</v>
      </c>
      <c r="G10" s="22" t="s">
        <v>45</v>
      </c>
      <c r="H10" s="23">
        <f t="shared" si="1"/>
        <v>46198</v>
      </c>
      <c r="I10" s="22" t="s">
        <v>23</v>
      </c>
      <c r="J10" s="22" t="s">
        <v>24</v>
      </c>
      <c r="K10" s="21">
        <v>8</v>
      </c>
      <c r="L10" s="24">
        <v>5200</v>
      </c>
      <c r="M10" s="25">
        <v>0.5</v>
      </c>
      <c r="N10" s="30">
        <f ca="1">IF(TblOp[[#This Row],[Status]]="Completed",0,TblOp[[#This Row],[Due Date]]-TODAY())</f>
        <v>-99</v>
      </c>
      <c r="O10" s="30" t="str">
        <f>IF(TblOp[[#This Row],[Hours Spent]]*50&gt;TblOp[[#This Row],[Budget ($)]],"Over Budget","OK")</f>
        <v>OK</v>
      </c>
      <c r="P10" s="30">
        <f>TblOp[[#This Row],[Due Date]]-TblOp[[#This Row],[Start Date]]</f>
        <v>15</v>
      </c>
    </row>
    <row r="11" ht="28.5" spans="2:19">
      <c r="B11" s="19" t="s">
        <v>25</v>
      </c>
      <c r="C11" s="22" t="s">
        <v>46</v>
      </c>
      <c r="D11" s="22" t="s">
        <v>27</v>
      </c>
      <c r="E11" s="22" t="s">
        <v>47</v>
      </c>
      <c r="F11" s="23">
        <f t="shared" si="0"/>
        <v>46185</v>
      </c>
      <c r="G11" s="22" t="s">
        <v>48</v>
      </c>
      <c r="H11" s="23">
        <f t="shared" si="1"/>
        <v>46191</v>
      </c>
      <c r="I11" s="22" t="s">
        <v>49</v>
      </c>
      <c r="J11" s="22" t="s">
        <v>31</v>
      </c>
      <c r="K11" s="21">
        <v>0</v>
      </c>
      <c r="L11" s="21">
        <v>900</v>
      </c>
      <c r="M11" s="25">
        <v>0</v>
      </c>
      <c r="N11" s="30">
        <f ca="1">IF(TblOp[[#This Row],[Status]]="Completed",0,TblOp[[#This Row],[Due Date]]-TODAY())</f>
        <v>-106</v>
      </c>
      <c r="O11" s="30" t="str">
        <f>IF(TblOp[[#This Row],[Hours Spent]]*50&gt;TblOp[[#This Row],[Budget ($)]],"Over Budget","OK")</f>
        <v>OK</v>
      </c>
      <c r="P11" s="30">
        <f>TblOp[[#This Row],[Due Date]]-TblOp[[#This Row],[Start Date]]</f>
        <v>6</v>
      </c>
    </row>
    <row r="12" ht="28.5" spans="2:19">
      <c r="B12" s="19" t="s">
        <v>32</v>
      </c>
      <c r="C12" s="22" t="s">
        <v>50</v>
      </c>
      <c r="D12" s="22" t="s">
        <v>34</v>
      </c>
      <c r="E12" s="22" t="s">
        <v>51</v>
      </c>
      <c r="F12" s="23">
        <f t="shared" si="0"/>
        <v>46188</v>
      </c>
      <c r="G12" s="22" t="s">
        <v>52</v>
      </c>
      <c r="H12" s="23">
        <f t="shared" si="1"/>
        <v>46203</v>
      </c>
      <c r="I12" s="22" t="s">
        <v>23</v>
      </c>
      <c r="J12" s="22" t="s">
        <v>24</v>
      </c>
      <c r="K12" s="21">
        <v>5</v>
      </c>
      <c r="L12" s="24">
        <v>3600</v>
      </c>
      <c r="M12" s="25">
        <v>0.2</v>
      </c>
      <c r="N12" s="30">
        <f ca="1">IF(TblOp[[#This Row],[Status]]="Completed",0,TblOp[[#This Row],[Due Date]]-TODAY())</f>
        <v>-94</v>
      </c>
      <c r="O12" s="30" t="str">
        <f>IF(TblOp[[#This Row],[Hours Spent]]*50&gt;TblOp[[#This Row],[Budget ($)]],"Over Budget","OK")</f>
        <v>OK</v>
      </c>
      <c r="P12" s="30">
        <f>TblOp[[#This Row],[Due Date]]-TblOp[[#This Row],[Start Date]]</f>
        <v>15</v>
      </c>
    </row>
    <row r="13" ht="28.5" spans="2:19">
      <c r="B13" s="19" t="s">
        <v>38</v>
      </c>
      <c r="C13" s="22" t="s">
        <v>53</v>
      </c>
      <c r="D13" s="22" t="s">
        <v>40</v>
      </c>
      <c r="E13" s="22" t="s">
        <v>21</v>
      </c>
      <c r="F13" s="23">
        <f t="shared" si="0"/>
        <v>46174</v>
      </c>
      <c r="G13" s="22" t="s">
        <v>28</v>
      </c>
      <c r="H13" s="23">
        <f t="shared" si="1"/>
        <v>46176</v>
      </c>
      <c r="I13" s="22" t="s">
        <v>30</v>
      </c>
      <c r="J13" s="22" t="s">
        <v>43</v>
      </c>
      <c r="K13" s="21">
        <v>2</v>
      </c>
      <c r="L13" s="21">
        <v>150</v>
      </c>
      <c r="M13" s="25">
        <v>1</v>
      </c>
      <c r="N13" s="30">
        <f ca="1">IF(TblOp[[#This Row],[Status]]="Completed",0,TblOp[[#This Row],[Due Date]]-TODAY())</f>
        <v>0</v>
      </c>
      <c r="O13" s="30" t="str">
        <f>IF(TblOp[[#This Row],[Hours Spent]]*50&gt;TblOp[[#This Row],[Budget ($)]],"Over Budget","OK")</f>
        <v>OK</v>
      </c>
      <c r="P13" s="30">
        <f>TblOp[[#This Row],[Due Date]]-TblOp[[#This Row],[Start Date]]</f>
        <v>2</v>
      </c>
    </row>
    <row r="16" ht="23.25" spans="2:19">
      <c r="B16" s="31" t="s">
        <v>0</v>
      </c>
      <c r="C16" s="32"/>
      <c r="D16" s="32"/>
      <c r="E16" s="32"/>
      <c r="F16" s="32"/>
      <c r="G16" s="32"/>
      <c r="H16" s="32"/>
      <c r="I16" s="32"/>
      <c r="J16" s="32"/>
      <c r="K16" s="33"/>
      <c r="L16" s="33"/>
      <c r="M16" s="33"/>
      <c r="N16" s="33"/>
      <c r="O16" s="33"/>
      <c r="P16" s="33"/>
      <c r="Q16" s="32"/>
      <c r="R16" s="32"/>
      <c r="S16" s="32"/>
    </row>
    <row r="17" ht="21" spans="2:19">
      <c r="B17" s="32"/>
      <c r="C17" s="32"/>
      <c r="D17" s="32"/>
      <c r="E17" s="32"/>
      <c r="F17" s="32"/>
      <c r="G17" s="32"/>
      <c r="H17" s="32"/>
      <c r="I17" s="32"/>
      <c r="J17" s="32"/>
      <c r="K17" s="33"/>
      <c r="L17" s="33"/>
      <c r="M17" s="33"/>
      <c r="N17" s="33"/>
      <c r="O17" s="33"/>
      <c r="P17" s="33"/>
      <c r="Q17" s="32"/>
      <c r="R17" s="32"/>
      <c r="S17" s="32"/>
    </row>
    <row r="18" ht="21" spans="2:19">
      <c r="B18" s="32" t="s">
        <v>54</v>
      </c>
      <c r="C18" s="32"/>
      <c r="D18" s="32"/>
      <c r="E18" s="32"/>
      <c r="F18" s="32"/>
      <c r="G18" s="32"/>
      <c r="H18" s="32"/>
      <c r="I18" s="32"/>
      <c r="J18" s="32"/>
      <c r="K18" s="33"/>
      <c r="L18" s="33"/>
      <c r="M18" s="33"/>
      <c r="N18" s="33"/>
      <c r="O18" s="33"/>
      <c r="P18" s="33"/>
      <c r="Q18" s="32"/>
      <c r="R18" s="32"/>
      <c r="S18" s="32"/>
    </row>
    <row r="19" ht="21" spans="2:19">
      <c r="B19" s="32"/>
      <c r="C19" s="32"/>
      <c r="D19" s="32"/>
      <c r="E19" s="32"/>
      <c r="F19" s="32"/>
      <c r="G19" s="32"/>
      <c r="H19" s="32"/>
      <c r="I19" s="32"/>
      <c r="J19" s="32"/>
      <c r="K19" s="33"/>
      <c r="L19" s="33"/>
      <c r="M19" s="33"/>
      <c r="N19" s="33"/>
      <c r="O19" s="33"/>
      <c r="P19" s="33"/>
      <c r="Q19" s="32"/>
      <c r="R19" s="32"/>
      <c r="S19" s="32"/>
    </row>
    <row r="20" ht="21" spans="2:19">
      <c r="B20" s="32"/>
      <c r="C20" s="32"/>
      <c r="D20" s="32"/>
      <c r="E20" s="32"/>
      <c r="F20" s="32"/>
      <c r="G20" s="32"/>
      <c r="H20" s="32"/>
      <c r="I20" s="32"/>
      <c r="J20" s="32"/>
      <c r="K20" s="33"/>
      <c r="L20" s="33"/>
      <c r="M20" s="33"/>
      <c r="N20" s="33"/>
      <c r="O20" s="33"/>
      <c r="P20" s="33"/>
      <c r="Q20" s="32"/>
      <c r="R20" s="32"/>
      <c r="S20" s="32"/>
    </row>
    <row r="21" ht="21" spans="2:19">
      <c r="B21" s="32"/>
      <c r="C21" s="32"/>
      <c r="D21" s="32"/>
      <c r="E21" s="32"/>
      <c r="F21" s="32"/>
      <c r="G21" s="32"/>
      <c r="H21" s="32"/>
      <c r="I21" s="32"/>
      <c r="J21" s="32"/>
      <c r="K21" s="33"/>
      <c r="L21" s="33"/>
      <c r="M21" s="33"/>
      <c r="N21" s="33"/>
      <c r="O21" s="33"/>
      <c r="P21" s="33"/>
      <c r="Q21" s="32"/>
      <c r="R21" s="32"/>
      <c r="S21" s="32"/>
    </row>
    <row r="22" ht="21" spans="2:19">
      <c r="B22" s="32"/>
      <c r="C22" s="32"/>
      <c r="D22" s="32"/>
      <c r="E22" s="32"/>
      <c r="F22" s="32"/>
      <c r="G22" s="32"/>
      <c r="H22" s="32"/>
      <c r="I22" s="32"/>
      <c r="J22" s="32"/>
      <c r="K22" s="33"/>
      <c r="L22" s="33"/>
      <c r="M22" s="33"/>
      <c r="N22" s="33"/>
      <c r="O22" s="33"/>
      <c r="P22" s="33"/>
      <c r="Q22" s="32"/>
      <c r="R22" s="32"/>
      <c r="S22" s="32"/>
    </row>
    <row r="23" ht="21" spans="2:19">
      <c r="B23" s="32"/>
      <c r="C23" s="32"/>
      <c r="D23" s="32"/>
      <c r="E23" s="32"/>
      <c r="F23" s="32"/>
      <c r="G23" s="32"/>
      <c r="H23" s="32"/>
      <c r="I23" s="32"/>
      <c r="J23" s="32"/>
      <c r="K23" s="33"/>
      <c r="L23" s="33"/>
      <c r="M23" s="33"/>
      <c r="N23" s="33"/>
      <c r="O23" s="33"/>
      <c r="P23" s="33"/>
      <c r="Q23" s="32"/>
      <c r="R23" s="32"/>
      <c r="S23" s="32"/>
    </row>
    <row r="24" ht="21" spans="2:19">
      <c r="B24" s="32"/>
      <c r="C24" s="32"/>
      <c r="D24" s="32"/>
      <c r="E24" s="32"/>
      <c r="F24" s="32"/>
      <c r="G24" s="32"/>
      <c r="H24" s="32"/>
      <c r="I24" s="32"/>
      <c r="J24" s="32"/>
      <c r="K24" s="33"/>
      <c r="L24" s="33"/>
      <c r="M24" s="33"/>
      <c r="N24" s="33"/>
      <c r="O24" s="33"/>
      <c r="P24" s="33"/>
      <c r="Q24" s="32"/>
      <c r="R24" s="32"/>
      <c r="S24" s="32"/>
    </row>
    <row r="25" ht="21" spans="2:19">
      <c r="B25" s="32"/>
      <c r="C25" s="32"/>
      <c r="D25" s="32"/>
      <c r="E25" s="32"/>
      <c r="F25" s="32"/>
      <c r="G25" s="32"/>
      <c r="H25" s="32"/>
      <c r="I25" s="32"/>
      <c r="J25" s="32"/>
      <c r="K25" s="33"/>
      <c r="L25" s="33"/>
      <c r="M25" s="33"/>
      <c r="N25" s="33"/>
      <c r="O25" s="33"/>
      <c r="P25" s="33"/>
      <c r="Q25" s="32"/>
      <c r="R25" s="32"/>
      <c r="S25" s="32"/>
    </row>
    <row r="26" ht="21" spans="2:19">
      <c r="B26" s="32"/>
      <c r="C26" s="32"/>
      <c r="D26" s="32"/>
      <c r="E26" s="32"/>
      <c r="F26" s="32"/>
      <c r="G26" s="32"/>
      <c r="H26" s="32"/>
      <c r="I26" s="32"/>
      <c r="J26" s="32"/>
      <c r="K26" s="33"/>
      <c r="L26" s="33"/>
      <c r="M26" s="33"/>
      <c r="N26" s="33"/>
      <c r="O26" s="33"/>
      <c r="P26" s="33"/>
      <c r="Q26" s="32"/>
      <c r="R26" s="32"/>
      <c r="S26" s="32"/>
    </row>
    <row r="27" ht="21" spans="2:19">
      <c r="B27" s="32"/>
      <c r="C27" s="32"/>
      <c r="D27" s="32"/>
      <c r="E27" s="32"/>
      <c r="F27" s="32"/>
      <c r="G27" s="32"/>
      <c r="H27" s="32"/>
      <c r="I27" s="32"/>
      <c r="J27" s="32"/>
      <c r="K27" s="33"/>
      <c r="L27" s="33"/>
      <c r="M27" s="33"/>
      <c r="N27" s="33"/>
      <c r="O27" s="33"/>
      <c r="P27" s="33"/>
      <c r="Q27" s="32"/>
      <c r="R27" s="32"/>
      <c r="S27" s="32"/>
    </row>
    <row r="28" ht="21" spans="2:19">
      <c r="B28" s="32"/>
      <c r="C28" s="32"/>
      <c r="D28" s="32"/>
      <c r="E28" s="32"/>
      <c r="F28" s="32"/>
      <c r="G28" s="32"/>
      <c r="H28" s="32"/>
      <c r="I28" s="32"/>
      <c r="J28" s="32"/>
      <c r="K28" s="33"/>
      <c r="L28" s="33"/>
      <c r="M28" s="33"/>
      <c r="N28" s="33"/>
      <c r="O28" s="33"/>
      <c r="P28" s="33"/>
      <c r="Q28" s="32"/>
      <c r="R28" s="32"/>
      <c r="S28" s="32"/>
    </row>
    <row r="29" ht="21" spans="2:19">
      <c r="B29" s="32"/>
      <c r="C29" s="32"/>
      <c r="D29" s="32"/>
      <c r="E29" s="32"/>
      <c r="F29" s="32"/>
      <c r="G29" s="32"/>
      <c r="H29" s="32"/>
      <c r="I29" s="32"/>
      <c r="J29" s="32"/>
      <c r="K29" s="33"/>
      <c r="L29" s="33"/>
      <c r="M29" s="33"/>
      <c r="N29" s="33"/>
      <c r="O29" s="33"/>
      <c r="P29" s="33"/>
      <c r="Q29" s="32"/>
      <c r="R29" s="32"/>
      <c r="S29" s="32"/>
    </row>
    <row r="30" ht="21" spans="2:19">
      <c r="B30" s="32"/>
      <c r="C30" s="32"/>
      <c r="D30" s="32"/>
      <c r="E30" s="32"/>
      <c r="F30" s="32"/>
      <c r="G30" s="32"/>
      <c r="H30" s="32"/>
      <c r="I30" s="32"/>
      <c r="J30" s="32"/>
      <c r="K30" s="33"/>
      <c r="L30" s="33"/>
      <c r="M30" s="33"/>
      <c r="N30" s="33"/>
      <c r="O30" s="33"/>
      <c r="P30" s="33"/>
      <c r="Q30" s="32"/>
      <c r="R30" s="32"/>
      <c r="S30" s="32"/>
    </row>
    <row r="31" ht="21" spans="2:19">
      <c r="B31" s="32"/>
      <c r="C31" s="32"/>
      <c r="D31" s="32"/>
      <c r="E31" s="32"/>
      <c r="F31" s="32"/>
      <c r="G31" s="32"/>
      <c r="H31" s="32"/>
      <c r="I31" s="32"/>
      <c r="J31" s="32"/>
      <c r="K31" s="33"/>
      <c r="L31" s="33"/>
      <c r="M31" s="33"/>
      <c r="N31" s="33"/>
      <c r="O31" s="33"/>
      <c r="P31" s="33"/>
      <c r="Q31" s="32"/>
      <c r="R31" s="32"/>
      <c r="S31" s="32"/>
    </row>
    <row r="32" ht="21" spans="2:19">
      <c r="B32" s="32"/>
      <c r="C32" s="32"/>
      <c r="D32" s="32"/>
      <c r="E32" s="32"/>
      <c r="F32" s="32"/>
      <c r="G32" s="32"/>
      <c r="H32" s="32"/>
      <c r="I32" s="32"/>
      <c r="J32" s="32"/>
      <c r="K32" s="33"/>
      <c r="L32" s="33"/>
      <c r="M32" s="33"/>
      <c r="N32" s="33"/>
      <c r="O32" s="33"/>
      <c r="P32" s="33"/>
      <c r="Q32" s="32"/>
      <c r="R32" s="32"/>
      <c r="S32" s="32"/>
    </row>
    <row r="33" ht="21" spans="2:19">
      <c r="B33" s="32"/>
      <c r="C33" s="32"/>
      <c r="D33" s="32"/>
      <c r="E33" s="32"/>
      <c r="F33" s="32"/>
      <c r="G33" s="32"/>
      <c r="H33" s="32"/>
      <c r="I33" s="32"/>
      <c r="J33" s="32"/>
      <c r="K33" s="33"/>
      <c r="L33" s="33"/>
      <c r="M33" s="33"/>
      <c r="N33" s="33"/>
      <c r="O33" s="33"/>
      <c r="P33" s="33"/>
      <c r="Q33" s="32"/>
      <c r="R33" s="32"/>
      <c r="S33" s="32"/>
    </row>
    <row r="34" ht="21" spans="2:19">
      <c r="B34" s="32"/>
      <c r="C34" s="32"/>
      <c r="D34" s="32"/>
      <c r="E34" s="32"/>
      <c r="F34" s="32"/>
      <c r="G34" s="32"/>
      <c r="H34" s="32"/>
      <c r="I34" s="32"/>
      <c r="J34" s="32"/>
      <c r="K34" s="33"/>
      <c r="L34" s="33"/>
      <c r="M34" s="33"/>
      <c r="N34" s="33"/>
      <c r="O34" s="33"/>
      <c r="P34" s="33"/>
      <c r="Q34" s="32"/>
      <c r="R34" s="32"/>
      <c r="S34" s="32"/>
    </row>
    <row r="35" ht="21" spans="2:19">
      <c r="B35" s="32"/>
      <c r="C35" s="32"/>
      <c r="D35" s="32"/>
      <c r="E35" s="32"/>
      <c r="F35" s="32"/>
      <c r="G35" s="32"/>
      <c r="H35" s="32"/>
      <c r="I35" s="32"/>
      <c r="J35" s="32"/>
      <c r="K35" s="33"/>
      <c r="L35" s="33"/>
      <c r="M35" s="33"/>
      <c r="N35" s="33"/>
      <c r="O35" s="33"/>
      <c r="P35" s="33"/>
      <c r="Q35" s="32"/>
      <c r="R35" s="32"/>
      <c r="S35" s="32"/>
    </row>
    <row r="36" ht="21" spans="2:19">
      <c r="B36" s="32"/>
      <c r="C36" s="32"/>
      <c r="D36" s="32"/>
      <c r="E36" s="32"/>
      <c r="F36" s="32"/>
      <c r="G36" s="32"/>
      <c r="H36" s="32"/>
      <c r="I36" s="32"/>
      <c r="J36" s="32"/>
      <c r="K36" s="33"/>
      <c r="L36" s="33"/>
      <c r="M36" s="33"/>
      <c r="N36" s="33"/>
      <c r="O36" s="33"/>
      <c r="P36" s="33"/>
      <c r="Q36" s="32"/>
      <c r="R36" s="32"/>
      <c r="S36" s="32"/>
    </row>
    <row r="37" ht="21" spans="2:19">
      <c r="B37" s="32"/>
      <c r="C37" s="32"/>
      <c r="D37" s="32"/>
      <c r="E37" s="32"/>
      <c r="F37" s="32"/>
      <c r="G37" s="32"/>
      <c r="H37" s="32"/>
      <c r="I37" s="32"/>
      <c r="J37" s="32"/>
      <c r="K37" s="33"/>
      <c r="L37" s="33"/>
      <c r="M37" s="33"/>
      <c r="N37" s="33"/>
      <c r="O37" s="33"/>
      <c r="P37" s="33"/>
      <c r="Q37" s="32"/>
      <c r="R37" s="32"/>
      <c r="S37" s="32"/>
    </row>
    <row r="38" ht="21" spans="2:19">
      <c r="B38" s="32"/>
      <c r="C38" s="32"/>
      <c r="D38" s="32"/>
      <c r="E38" s="32"/>
      <c r="F38" s="32"/>
      <c r="G38" s="32"/>
      <c r="H38" s="32"/>
      <c r="I38" s="32"/>
      <c r="J38" s="32"/>
      <c r="K38" s="33"/>
      <c r="L38" s="33"/>
      <c r="M38" s="33"/>
      <c r="N38" s="33"/>
      <c r="O38" s="33"/>
      <c r="P38" s="33"/>
      <c r="Q38" s="32"/>
      <c r="R38" s="32"/>
      <c r="S38" s="32"/>
    </row>
    <row r="39" ht="21" spans="2:19">
      <c r="B39" s="32"/>
      <c r="C39" s="32"/>
      <c r="D39" s="32"/>
      <c r="E39" s="32"/>
      <c r="F39" s="32"/>
      <c r="G39" s="32"/>
      <c r="H39" s="32"/>
      <c r="I39" s="32"/>
      <c r="J39" s="32"/>
      <c r="K39" s="33"/>
      <c r="L39" s="33"/>
      <c r="M39" s="33"/>
      <c r="N39" s="33"/>
      <c r="O39" s="33"/>
      <c r="P39" s="33"/>
      <c r="Q39" s="32"/>
      <c r="R39" s="32"/>
      <c r="S39" s="32"/>
    </row>
    <row r="40" ht="21" spans="2:19">
      <c r="B40" s="32"/>
      <c r="C40" s="32"/>
      <c r="D40" s="32"/>
      <c r="E40" s="32"/>
      <c r="F40" s="32"/>
      <c r="G40" s="32"/>
      <c r="H40" s="32"/>
      <c r="I40" s="32"/>
      <c r="J40" s="32"/>
      <c r="K40" s="33"/>
      <c r="L40" s="33"/>
      <c r="M40" s="33"/>
      <c r="N40" s="33"/>
      <c r="O40" s="33"/>
      <c r="P40" s="33"/>
      <c r="Q40" s="32"/>
      <c r="R40" s="32"/>
      <c r="S40" s="32"/>
    </row>
    <row r="41" ht="21" spans="2:19">
      <c r="B41" s="32"/>
      <c r="C41" s="32"/>
      <c r="D41" s="32"/>
      <c r="E41" s="32"/>
      <c r="F41" s="32"/>
      <c r="G41" s="32"/>
      <c r="H41" s="32"/>
      <c r="I41" s="32"/>
      <c r="J41" s="32"/>
      <c r="K41" s="33"/>
      <c r="L41" s="33"/>
      <c r="M41" s="33"/>
      <c r="N41" s="33"/>
      <c r="O41" s="33"/>
      <c r="P41" s="33"/>
      <c r="Q41" s="32"/>
      <c r="R41" s="32"/>
      <c r="S41" s="32"/>
    </row>
    <row r="42" ht="21" spans="2:19">
      <c r="B42" s="32"/>
      <c r="C42" s="32"/>
      <c r="D42" s="32"/>
      <c r="E42" s="32"/>
      <c r="F42" s="32"/>
      <c r="G42" s="32"/>
      <c r="H42" s="32"/>
      <c r="I42" s="32"/>
      <c r="J42" s="32"/>
      <c r="K42" s="33"/>
      <c r="L42" s="33"/>
      <c r="M42" s="33"/>
      <c r="N42" s="33"/>
      <c r="O42" s="33"/>
      <c r="P42" s="33"/>
      <c r="Q42" s="32"/>
      <c r="R42" s="32"/>
      <c r="S42" s="32"/>
    </row>
    <row r="43" ht="21" spans="2:19">
      <c r="B43" s="32"/>
      <c r="C43" s="32"/>
      <c r="D43" s="32"/>
      <c r="E43" s="32"/>
      <c r="F43" s="32"/>
      <c r="G43" s="32"/>
      <c r="H43" s="32"/>
      <c r="I43" s="32"/>
      <c r="J43" s="32"/>
      <c r="K43" s="33"/>
      <c r="L43" s="33"/>
      <c r="M43" s="33"/>
      <c r="N43" s="33"/>
      <c r="O43" s="33"/>
      <c r="P43" s="33"/>
      <c r="Q43" s="32"/>
      <c r="R43" s="32"/>
      <c r="S43" s="32"/>
    </row>
  </sheetData>
  <mergeCells count="1">
    <mergeCell ref="B18:S43"/>
  </mergeCells>
  <conditionalFormatting sqref="I1:I17 I44:I1048576">
    <cfRule type="containsText" dxfId="14" priority="5" operator="between" text="Not Started">
      <formula>NOT(ISERROR(SEARCH("Not Started",I1)))</formula>
    </cfRule>
    <cfRule type="containsText" dxfId="15" priority="6" operator="between" text="In Progress">
      <formula>NOT(ISERROR(SEARCH("In Progress",I1)))</formula>
    </cfRule>
    <cfRule type="containsText" dxfId="16" priority="7" operator="between" text="Delayed">
      <formula>NOT(ISERROR(SEARCH("Delayed",I1)))</formula>
    </cfRule>
    <cfRule type="containsText" dxfId="17" priority="8" operator="between" text="Completed">
      <formula>NOT(ISERROR(SEARCH("Completed",I1)))</formula>
    </cfRule>
  </conditionalFormatting>
  <conditionalFormatting sqref="J1:J17 J44:J1048576">
    <cfRule type="cellIs" dxfId="18" priority="2" operator="equal">
      <formula>"Low"</formula>
    </cfRule>
    <cfRule type="cellIs" dxfId="19" priority="3" operator="equal">
      <formula>"Medium"</formula>
    </cfRule>
    <cfRule type="cellIs" dxfId="20" priority="4" operator="equal">
      <formula>"High"</formula>
    </cfRule>
  </conditionalFormatting>
  <conditionalFormatting sqref="M1:M17 M44:M1048576">
    <cfRule type="dataBar" priority="1">
      <dataBar>
        <cfvo type="min"/>
        <cfvo type="max"/>
        <color rgb="FF638EC6"/>
      </dataBar>
      <extLst>
        <ext xmlns:x14="http://schemas.microsoft.com/office/spreadsheetml/2009/9/main" uri="{B025F937-C7B1-47D3-B67F-A62EFF666E3E}">
          <x14:id>{96c70c09-27b8-438e-81c7-9a9190d6cb16}</x14:id>
        </ext>
      </extLst>
    </cfRule>
  </conditionalFormatting>
  <dataValidations count="1">
    <dataValidation type="list" allowBlank="1" showInputMessage="1" showErrorMessage="1" error="Choose from the list" sqref="I6:I13">
      <formula1>"Completed, In Progress, Delayed, Not Started"</formula1>
    </dataValidation>
  </dataValidations>
  <pageMargins left="0.75" right="0.75" top="1" bottom="1" header="0.5" footer="0.5"/>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6c70c09-27b8-438e-81c7-9a9190d6cb16}">
            <x14:dataBar minLength="0" maxLength="100" border="1" negativeBarBorderColorSameAsPositive="0">
              <x14:cfvo type="autoMin"/>
              <x14:cfvo type="autoMax"/>
              <x14:borderColor rgb="FF638EC6"/>
              <x14:negativeFillColor rgb="FFFF0000"/>
              <x14:negativeBorderColor rgb="FFFF0000"/>
              <x14:axisColor rgb="FF000000"/>
            </x14:dataBar>
          </x14:cfRule>
          <xm:sqref>M1:M17 M44:M1048576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workbookViewId="0">
      <selection activeCell="A17" sqref="A17"/>
    </sheetView>
  </sheetViews>
  <sheetFormatPr defaultColWidth="9.02654867256637" defaultRowHeight="14.25" outlineLevelRow="7" outlineLevelCol="1"/>
  <cols>
    <col min="1" max="1" width="17.787610619469" customWidth="1"/>
    <col min="2" max="2" width="22.7079646017699" customWidth="1"/>
  </cols>
  <sheetData>
    <row r="3" spans="1:2">
      <c r="A3" t="s">
        <v>10</v>
      </c>
      <c r="B3" t="s">
        <v>55</v>
      </c>
    </row>
    <row r="4" spans="1:2">
      <c r="A4" t="s">
        <v>30</v>
      </c>
      <c r="B4">
        <v>3</v>
      </c>
    </row>
    <row r="5" spans="1:2">
      <c r="A5" t="s">
        <v>37</v>
      </c>
      <c r="B5">
        <v>1</v>
      </c>
    </row>
    <row r="6" spans="1:2">
      <c r="A6" t="s">
        <v>23</v>
      </c>
      <c r="B6">
        <v>3</v>
      </c>
    </row>
    <row r="7" spans="1:2">
      <c r="A7" t="s">
        <v>49</v>
      </c>
      <c r="B7">
        <v>1</v>
      </c>
    </row>
    <row r="8" spans="1:2">
      <c r="A8" t="s">
        <v>56</v>
      </c>
      <c r="B8">
        <v>8</v>
      </c>
    </row>
  </sheetData>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topLeftCell="A2" workbookViewId="0">
      <selection activeCell="I18" sqref="I18"/>
    </sheetView>
  </sheetViews>
  <sheetFormatPr defaultColWidth="9.02654867256637" defaultRowHeight="14.25" outlineLevelRow="7" outlineLevelCol="1"/>
  <cols>
    <col min="1" max="1" width="13.4955752212389"/>
    <col min="2" max="2" width="18.6106194690265"/>
  </cols>
  <sheetData>
    <row r="3" spans="1:2">
      <c r="A3" t="s">
        <v>3</v>
      </c>
      <c r="B3" t="s">
        <v>57</v>
      </c>
    </row>
    <row r="4" spans="1:2">
      <c r="A4" t="s">
        <v>38</v>
      </c>
      <c r="B4">
        <v>5</v>
      </c>
    </row>
    <row r="5" spans="1:2">
      <c r="A5" t="s">
        <v>18</v>
      </c>
      <c r="B5">
        <v>20</v>
      </c>
    </row>
    <row r="6" spans="1:2">
      <c r="A6" t="s">
        <v>25</v>
      </c>
      <c r="B6">
        <v>6</v>
      </c>
    </row>
    <row r="7" spans="1:2">
      <c r="A7" t="s">
        <v>32</v>
      </c>
      <c r="B7">
        <v>20</v>
      </c>
    </row>
    <row r="8" spans="1:2">
      <c r="A8" t="s">
        <v>56</v>
      </c>
      <c r="B8">
        <v>51</v>
      </c>
    </row>
  </sheetData>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8"/>
  <sheetViews>
    <sheetView zoomScale="88" zoomScaleNormal="88" workbookViewId="0">
      <selection activeCell="B23" sqref="B23"/>
    </sheetView>
  </sheetViews>
  <sheetFormatPr defaultColWidth="9.02654867256637" defaultRowHeight="14.25" outlineLevelRow="7" outlineLevelCol="2"/>
  <cols>
    <col min="1" max="1" width="17.858407079646" customWidth="1"/>
    <col min="2" max="3" width="17.787610619469"/>
  </cols>
  <sheetData>
    <row r="3" spans="1:3">
      <c r="A3" t="s">
        <v>5</v>
      </c>
      <c r="B3" t="s">
        <v>58</v>
      </c>
      <c r="C3" t="s">
        <v>57</v>
      </c>
    </row>
    <row r="4" spans="1:3">
      <c r="A4" t="s">
        <v>20</v>
      </c>
      <c r="B4">
        <v>9700</v>
      </c>
      <c r="C4">
        <v>20</v>
      </c>
    </row>
    <row r="5" spans="1:3">
      <c r="A5" t="s">
        <v>40</v>
      </c>
      <c r="B5">
        <v>500</v>
      </c>
      <c r="C5">
        <v>5</v>
      </c>
    </row>
    <row r="6" spans="1:3">
      <c r="A6" t="s">
        <v>34</v>
      </c>
      <c r="B6">
        <v>11400</v>
      </c>
      <c r="C6">
        <v>20</v>
      </c>
    </row>
    <row r="7" spans="1:3">
      <c r="A7" t="s">
        <v>27</v>
      </c>
      <c r="B7">
        <v>2100</v>
      </c>
      <c r="C7">
        <v>6</v>
      </c>
    </row>
    <row r="8" spans="1:3">
      <c r="A8" t="s">
        <v>56</v>
      </c>
      <c r="B8">
        <v>23700</v>
      </c>
      <c r="C8">
        <v>51</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2:K7"/>
  <sheetViews>
    <sheetView zoomScale="69" zoomScaleNormal="69" topLeftCell="B3" workbookViewId="0">
      <selection activeCell="G10" sqref="G10"/>
    </sheetView>
  </sheetViews>
  <sheetFormatPr defaultColWidth="9.02654867256637" defaultRowHeight="14.25" outlineLevelRow="6"/>
  <cols>
    <col min="9" max="9" width="12.6194690265487" customWidth="1"/>
    <col min="10" max="10" width="12.8761061946903" customWidth="1"/>
    <col min="11" max="11" width="15.0088495575221" customWidth="1"/>
  </cols>
  <sheetData>
    <row r="2" ht="30.75" spans="7:11">
      <c r="H2" s="1" t="s">
        <v>59</v>
      </c>
    </row>
    <row r="5" ht="23.25" spans="7:11">
      <c r="G5" s="2" t="s">
        <v>0</v>
      </c>
      <c r="H5" s="3"/>
      <c r="I5" s="3"/>
      <c r="J5" s="3"/>
      <c r="K5" s="4"/>
    </row>
    <row r="6" ht="21" spans="7:11">
      <c r="G6" s="5" t="s">
        <v>1</v>
      </c>
      <c r="H6" s="6"/>
      <c r="I6" s="6"/>
      <c r="J6" s="7">
        <f>COUNTIF(TblOp[Status],"Completed")</f>
        <v>3</v>
      </c>
      <c r="K6" s="8"/>
    </row>
    <row r="7" ht="21" spans="7:11">
      <c r="G7" s="9" t="s">
        <v>2</v>
      </c>
      <c r="H7" s="10"/>
      <c r="I7" s="10"/>
      <c r="J7" s="11">
        <f>AVERAGE(TblOp[Completion %])</f>
        <v>0.59375</v>
      </c>
      <c r="K7" s="12"/>
    </row>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Operations-Data</vt:lpstr>
      <vt:lpstr>Task Status Summary</vt:lpstr>
      <vt:lpstr>Hours by Dept</vt:lpstr>
      <vt:lpstr>Budget and Hours</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c:creator>
  <cp:lastModifiedBy>Rashi</cp:lastModifiedBy>
  <dcterms:created xsi:type="dcterms:W3CDTF">2026-06-05T22:11:00Z</dcterms:created>
  <dcterms:modified xsi:type="dcterms:W3CDTF">2026-10-03T00:02:42Z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FF40A6E4EC624E31B44B58226AB5E98F_11</vt:lpwstr>
  </property>
  <property fmtid="{D5CDD505-2E9C-101B-9397-08002B2CF9AE}" pid="3" name="KSOProductBuildVer">
    <vt:lpwstr>1033-12.1.0.28485</vt:lpwstr>
  </property>
  <property fmtid="{D5CDD505-2E9C-101B-9397-08002B2CF9AE}" pid="4" name="CalculationRule">
    <vt:i4>1</vt:i4>
  </property>
</Properties>
</file>